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7d0203d5895724/Desktop/Managerial Accounting Innovative Practice/"/>
    </mc:Choice>
  </mc:AlternateContent>
  <xr:revisionPtr revIDLastSave="165" documentId="8_{BA2C3C7E-E2DD-43C7-919C-D07E51C65FEF}" xr6:coauthVersionLast="47" xr6:coauthVersionMax="47" xr10:uidLastSave="{0160B071-5EE4-4A46-918D-C240D2EE25A7}"/>
  <bookViews>
    <workbookView xWindow="-110" yWindow="-110" windowWidth="19420" windowHeight="10300" xr2:uid="{E5A736A6-2C31-4A89-8AF7-F6B1143EAE1B}"/>
  </bookViews>
  <sheets>
    <sheet name="P&amp;L Statement" sheetId="4" r:id="rId1"/>
    <sheet name="Bal Sheet" sheetId="5" r:id="rId2"/>
    <sheet name="Table I" sheetId="3" r:id="rId3"/>
    <sheet name="Table II" sheetId="2" r:id="rId4"/>
    <sheet name="Dashboard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D19" i="2" s="1"/>
  <c r="C18" i="2"/>
  <c r="C15" i="2"/>
  <c r="C14" i="2"/>
  <c r="C9" i="2"/>
  <c r="C10" i="2"/>
  <c r="C11" i="2"/>
  <c r="C8" i="2"/>
  <c r="C5" i="2"/>
  <c r="C4" i="2"/>
  <c r="B19" i="2"/>
  <c r="B18" i="2"/>
  <c r="D18" i="2" s="1"/>
  <c r="B15" i="2"/>
  <c r="B14" i="2"/>
  <c r="D14" i="2" s="1"/>
  <c r="B9" i="2"/>
  <c r="D9" i="2" s="1"/>
  <c r="B10" i="2"/>
  <c r="D10" i="2" s="1"/>
  <c r="B11" i="2"/>
  <c r="B8" i="2"/>
  <c r="B5" i="2"/>
  <c r="B4" i="2"/>
  <c r="D5" i="2"/>
  <c r="D15" i="2"/>
  <c r="D11" i="2"/>
  <c r="D8" i="2" l="1"/>
  <c r="D4" i="2"/>
</calcChain>
</file>

<file path=xl/sharedStrings.xml><?xml version="1.0" encoding="utf-8"?>
<sst xmlns="http://schemas.openxmlformats.org/spreadsheetml/2006/main" count="2681" uniqueCount="1475">
  <si>
    <t>Liquidity Ratio</t>
  </si>
  <si>
    <t>2025-26</t>
  </si>
  <si>
    <t>2024-25</t>
  </si>
  <si>
    <t>2023-24</t>
  </si>
  <si>
    <t>2022-23</t>
  </si>
  <si>
    <t>2021-22</t>
  </si>
  <si>
    <t>Profitability Ratios</t>
  </si>
  <si>
    <t>Solvency Ratios</t>
  </si>
  <si>
    <t>Efficiency</t>
  </si>
  <si>
    <t/>
  </si>
  <si>
    <t>a)Current Ratio-</t>
  </si>
  <si>
    <t>b)Liquid Ratio-</t>
  </si>
  <si>
    <t>c)RoE</t>
  </si>
  <si>
    <t>d)RoI</t>
  </si>
  <si>
    <t>a)Debt-Equity Ratio</t>
  </si>
  <si>
    <t>b)Proprietory Ratio</t>
  </si>
  <si>
    <t>a)Inventory Turnover Ratio</t>
  </si>
  <si>
    <t>b)Working Capital Turnover Ratio</t>
  </si>
  <si>
    <t>Comparative Financial Ratio Analysis</t>
  </si>
  <si>
    <t>Ratios</t>
  </si>
  <si>
    <t>Change in Ratio</t>
  </si>
  <si>
    <t>a)Net Profit Ration (before tax)</t>
  </si>
  <si>
    <t>b)Net Profit Ration (after tax)</t>
  </si>
  <si>
    <t>Indicator</t>
  </si>
  <si>
    <t>Mar 26</t>
  </si>
  <si>
    <t>Mar 25</t>
  </si>
  <si>
    <t>Mar 24</t>
  </si>
  <si>
    <t>Mar 23</t>
  </si>
  <si>
    <t>Mar 22</t>
  </si>
  <si>
    <t>Mar 21</t>
  </si>
  <si>
    <t>Mar 20</t>
  </si>
  <si>
    <t>Mar 19</t>
  </si>
  <si>
    <t>Mar 18</t>
  </si>
  <si>
    <t>Mar 17</t>
  </si>
  <si>
    <t>Mar 16</t>
  </si>
  <si>
    <t>Mar 15</t>
  </si>
  <si>
    <t>Mar 14</t>
  </si>
  <si>
    <t>Mar 13</t>
  </si>
  <si>
    <t>Mar 12</t>
  </si>
  <si>
    <t>Mar 11</t>
  </si>
  <si>
    <t>Mar 10</t>
  </si>
  <si>
    <t>Mar 09</t>
  </si>
  <si>
    <t>Mar 08</t>
  </si>
  <si>
    <t>Mar 07</t>
  </si>
  <si>
    <t>Mar 06</t>
  </si>
  <si>
    <t>Mar 05</t>
  </si>
  <si>
    <t>Mar 04</t>
  </si>
  <si>
    <t>INCOME</t>
  </si>
  <si>
    <t>Revenue From Operations [Gross]</t>
  </si>
  <si>
    <t>18,119.45</t>
  </si>
  <si>
    <t>16,859.22</t>
  </si>
  <si>
    <t>15,938.87</t>
  </si>
  <si>
    <t>15,285.12</t>
  </si>
  <si>
    <t>13,169.04</t>
  </si>
  <si>
    <t>12,113.65</t>
  </si>
  <si>
    <t>10,820.57</t>
  </si>
  <si>
    <t>10,389.49</t>
  </si>
  <si>
    <t>9,276.17</t>
  </si>
  <si>
    <t>8,577.14</t>
  </si>
  <si>
    <t>8,097.81</t>
  </si>
  <si>
    <t>7,269.26</t>
  </si>
  <si>
    <t>6,347.85</t>
  </si>
  <si>
    <t>5,649.66</t>
  </si>
  <si>
    <t>5,005.66</t>
  </si>
  <si>
    <t>4,230.59</t>
  </si>
  <si>
    <t>3,427.97</t>
  </si>
  <si>
    <t>3,142.89</t>
  </si>
  <si>
    <t>2,617.66</t>
  </si>
  <si>
    <t>2,317.11</t>
  </si>
  <si>
    <t>1,817.92</t>
  </si>
  <si>
    <t>1,615.45</t>
  </si>
  <si>
    <t>1,470.53</t>
  </si>
  <si>
    <t>Less: Excise/Sevice Tax/Other Levies</t>
  </si>
  <si>
    <t>0.00</t>
  </si>
  <si>
    <t>76.11</t>
  </si>
  <si>
    <t>270.02</t>
  </si>
  <si>
    <t>228.92</t>
  </si>
  <si>
    <t>168.80</t>
  </si>
  <si>
    <t>115.76</t>
  </si>
  <si>
    <t>85.28</t>
  </si>
  <si>
    <t>58.62</t>
  </si>
  <si>
    <t>32.27</t>
  </si>
  <si>
    <t>23.27</t>
  </si>
  <si>
    <t>30.51</t>
  </si>
  <si>
    <t>29.80</t>
  </si>
  <si>
    <t>117.79</t>
  </si>
  <si>
    <t>104.58</t>
  </si>
  <si>
    <t>27.88</t>
  </si>
  <si>
    <t>30.91</t>
  </si>
  <si>
    <t>Revenue From Operations [Net]</t>
  </si>
  <si>
    <t>9,200.06</t>
  </si>
  <si>
    <t>8,307.12</t>
  </si>
  <si>
    <t>7,868.89</t>
  </si>
  <si>
    <t>7,100.46</t>
  </si>
  <si>
    <t>6,232.09</t>
  </si>
  <si>
    <t>5,564.38</t>
  </si>
  <si>
    <t>4,947.04</t>
  </si>
  <si>
    <t>4,198.32</t>
  </si>
  <si>
    <t>3,404.70</t>
  </si>
  <si>
    <t>3,112.38</t>
  </si>
  <si>
    <t>2,587.86</t>
  </si>
  <si>
    <t>2,199.32</t>
  </si>
  <si>
    <t>1,713.34</t>
  </si>
  <si>
    <t>1,587.57</t>
  </si>
  <si>
    <t>1,439.61</t>
  </si>
  <si>
    <t>Total Operating Revenues</t>
  </si>
  <si>
    <t>18,445.82</t>
  </si>
  <si>
    <t>17,295.92</t>
  </si>
  <si>
    <t>16,186.08</t>
  </si>
  <si>
    <t>15,618.42</t>
  </si>
  <si>
    <t>13,371.62</t>
  </si>
  <si>
    <t>12,378.83</t>
  </si>
  <si>
    <t>10,986.68</t>
  </si>
  <si>
    <t>10,482.45</t>
  </si>
  <si>
    <t>9,304.06</t>
  </si>
  <si>
    <t>8,414.37</t>
  </si>
  <si>
    <t>7,947.90</t>
  </si>
  <si>
    <t>7,175.99</t>
  </si>
  <si>
    <t>6,307.39</t>
  </si>
  <si>
    <t>5,615.49</t>
  </si>
  <si>
    <t>4,974.19</t>
  </si>
  <si>
    <t>4,223.52</t>
  </si>
  <si>
    <t>Other Income</t>
  </si>
  <si>
    <t>318.44</t>
  </si>
  <si>
    <t>250.68</t>
  </si>
  <si>
    <t>210.11</t>
  </si>
  <si>
    <t>220.59</t>
  </si>
  <si>
    <t>359.43</t>
  </si>
  <si>
    <t>292.70</t>
  </si>
  <si>
    <t>335.43</t>
  </si>
  <si>
    <t>190.52</t>
  </si>
  <si>
    <t>155.93</t>
  </si>
  <si>
    <t>144.78</t>
  </si>
  <si>
    <t>98.21</t>
  </si>
  <si>
    <t>87.53</t>
  </si>
  <si>
    <t>34.82</t>
  </si>
  <si>
    <t>55.47</t>
  </si>
  <si>
    <t>58.53</t>
  </si>
  <si>
    <t>48.92</t>
  </si>
  <si>
    <t>-0.48</t>
  </si>
  <si>
    <t>33.53</t>
  </si>
  <si>
    <t>33.17</t>
  </si>
  <si>
    <t>31.82</t>
  </si>
  <si>
    <t>33.43</t>
  </si>
  <si>
    <t>46.44</t>
  </si>
  <si>
    <t>46.42</t>
  </si>
  <si>
    <t>Total Revenue</t>
  </si>
  <si>
    <t>18,764.26</t>
  </si>
  <si>
    <t>17,546.60</t>
  </si>
  <si>
    <t>16,396.19</t>
  </si>
  <si>
    <t>15,839.01</t>
  </si>
  <si>
    <t>13,731.05</t>
  </si>
  <si>
    <t>12,671.53</t>
  </si>
  <si>
    <t>11,322.11</t>
  </si>
  <si>
    <t>10,672.97</t>
  </si>
  <si>
    <t>9,459.99</t>
  </si>
  <si>
    <t>8,559.15</t>
  </si>
  <si>
    <t>8,046.11</t>
  </si>
  <si>
    <t>7,263.52</t>
  </si>
  <si>
    <t>6,342.21</t>
  </si>
  <si>
    <t>5,670.96</t>
  </si>
  <si>
    <t>5,032.72</t>
  </si>
  <si>
    <t>4,272.44</t>
  </si>
  <si>
    <t>3,404.22</t>
  </si>
  <si>
    <t>3,145.91</t>
  </si>
  <si>
    <t>2,621.03</t>
  </si>
  <si>
    <t>2,231.14</t>
  </si>
  <si>
    <t>1,746.77</t>
  </si>
  <si>
    <t>1,634.01</t>
  </si>
  <si>
    <t>1,486.03</t>
  </si>
  <si>
    <t>EXPENSES</t>
  </si>
  <si>
    <t>Cost Of Materials Consumed</t>
  </si>
  <si>
    <t>9,045.68</t>
  </si>
  <si>
    <t>8,608.64</t>
  </si>
  <si>
    <t>7,394.74</t>
  </si>
  <si>
    <t>7,084.09</t>
  </si>
  <si>
    <t>6,366.31</t>
  </si>
  <si>
    <t>5,509.69</t>
  </si>
  <si>
    <t>5,052.67</t>
  </si>
  <si>
    <t>4,944.77</t>
  </si>
  <si>
    <t>4,405.17</t>
  </si>
  <si>
    <t>4,342.78</t>
  </si>
  <si>
    <t>3,796.44</t>
  </si>
  <si>
    <t>3,592.99</t>
  </si>
  <si>
    <t>3,165.53</t>
  </si>
  <si>
    <t>2,890.42</t>
  </si>
  <si>
    <t>2,655.01</t>
  </si>
  <si>
    <t>2,371.92</t>
  </si>
  <si>
    <t>1,907.00</t>
  </si>
  <si>
    <t>1,795.18</t>
  </si>
  <si>
    <t>1,507.60</t>
  </si>
  <si>
    <t>1,380.78</t>
  </si>
  <si>
    <t>955.73</t>
  </si>
  <si>
    <t>766.93</t>
  </si>
  <si>
    <t>696.62</t>
  </si>
  <si>
    <t xml:space="preserve">Purchase Of Stock-In Trade </t>
  </si>
  <si>
    <t>2,028.01</t>
  </si>
  <si>
    <t>1,993.16</t>
  </si>
  <si>
    <t>2,033.36</t>
  </si>
  <si>
    <t>2,453.42</t>
  </si>
  <si>
    <t>2,183.41</t>
  </si>
  <si>
    <t>1,908.50</t>
  </si>
  <si>
    <t>1,543.55</t>
  </si>
  <si>
    <t>1,381.88</t>
  </si>
  <si>
    <t>1,372.46</t>
  </si>
  <si>
    <t>904.78</t>
  </si>
  <si>
    <t>833.01</t>
  </si>
  <si>
    <t>749.33</t>
  </si>
  <si>
    <t>656.78</t>
  </si>
  <si>
    <t>638.18</t>
  </si>
  <si>
    <t>529.53</t>
  </si>
  <si>
    <t>410.31</t>
  </si>
  <si>
    <t>313.12</t>
  </si>
  <si>
    <t>162.94</t>
  </si>
  <si>
    <t>61.93</t>
  </si>
  <si>
    <t>82.14</t>
  </si>
  <si>
    <t>87.91</t>
  </si>
  <si>
    <t>136.89</t>
  </si>
  <si>
    <t>100.77</t>
  </si>
  <si>
    <t>Operating And Direct Expenses</t>
  </si>
  <si>
    <t>304.86</t>
  </si>
  <si>
    <t>281.37</t>
  </si>
  <si>
    <t>222.18</t>
  </si>
  <si>
    <t>188.17</t>
  </si>
  <si>
    <t>139.71</t>
  </si>
  <si>
    <t>190.32</t>
  </si>
  <si>
    <t>177.35</t>
  </si>
  <si>
    <t>Changes In Inventories Of FG,WIP And Stock-In Trade</t>
  </si>
  <si>
    <t>-21.42</t>
  </si>
  <si>
    <t>-67.96</t>
  </si>
  <si>
    <t>0.01</t>
  </si>
  <si>
    <t>-82.13</t>
  </si>
  <si>
    <t>-73.96</t>
  </si>
  <si>
    <t>-43.22</t>
  </si>
  <si>
    <t>61.51</t>
  </si>
  <si>
    <t>-49.02</t>
  </si>
  <si>
    <t>-4.18</t>
  </si>
  <si>
    <t>-49.25</t>
  </si>
  <si>
    <t>-7.12</t>
  </si>
  <si>
    <t>-25.48</t>
  </si>
  <si>
    <t>-12.58</t>
  </si>
  <si>
    <t>-10.16</t>
  </si>
  <si>
    <t>-4.79</t>
  </si>
  <si>
    <t>-17.89</t>
  </si>
  <si>
    <t>-21.45</t>
  </si>
  <si>
    <t>-19.44</t>
  </si>
  <si>
    <t>17.05</t>
  </si>
  <si>
    <t>-34.21</t>
  </si>
  <si>
    <t>-12.29</t>
  </si>
  <si>
    <t>9.72</t>
  </si>
  <si>
    <t>-13.25</t>
  </si>
  <si>
    <t>Employee Benefit Expenses</t>
  </si>
  <si>
    <t>667.47</t>
  </si>
  <si>
    <t>554.70</t>
  </si>
  <si>
    <t>565.28</t>
  </si>
  <si>
    <t>520.55</t>
  </si>
  <si>
    <t>413.56</t>
  </si>
  <si>
    <t>402.85</t>
  </si>
  <si>
    <t>368.87</t>
  </si>
  <si>
    <t>321.64</t>
  </si>
  <si>
    <t>294.87</t>
  </si>
  <si>
    <t>241.68</t>
  </si>
  <si>
    <t>209.21</t>
  </si>
  <si>
    <t>176.79</t>
  </si>
  <si>
    <t>172.45</t>
  </si>
  <si>
    <t>143.50</t>
  </si>
  <si>
    <t>145.87</t>
  </si>
  <si>
    <t>119.93</t>
  </si>
  <si>
    <t>132.39</t>
  </si>
  <si>
    <t>120.96</t>
  </si>
  <si>
    <t>103.58</t>
  </si>
  <si>
    <t>86.96</t>
  </si>
  <si>
    <t>84.21</t>
  </si>
  <si>
    <t>85.04</t>
  </si>
  <si>
    <t>91.78</t>
  </si>
  <si>
    <t>Finance Costs</t>
  </si>
  <si>
    <t>110.80</t>
  </si>
  <si>
    <t>137.10</t>
  </si>
  <si>
    <t>151.40</t>
  </si>
  <si>
    <t>154.95</t>
  </si>
  <si>
    <t>133.46</t>
  </si>
  <si>
    <t>97.81</t>
  </si>
  <si>
    <t>65.17</t>
  </si>
  <si>
    <t>1.54</t>
  </si>
  <si>
    <t>1.45</t>
  </si>
  <si>
    <t>1.34</t>
  </si>
  <si>
    <t>1.25</t>
  </si>
  <si>
    <t>1.21</t>
  </si>
  <si>
    <t>5.44</t>
  </si>
  <si>
    <t>37.74</t>
  </si>
  <si>
    <t>38.07</t>
  </si>
  <si>
    <t>37.75</t>
  </si>
  <si>
    <t>4.22</t>
  </si>
  <si>
    <t>11.70</t>
  </si>
  <si>
    <t>6.40</t>
  </si>
  <si>
    <t>5.42</t>
  </si>
  <si>
    <t>2.14</t>
  </si>
  <si>
    <t>2.10</t>
  </si>
  <si>
    <t>6.05</t>
  </si>
  <si>
    <t>Depreciation And Amortisation Expenses</t>
  </si>
  <si>
    <t>305.34</t>
  </si>
  <si>
    <t>284.67</t>
  </si>
  <si>
    <t>271.19</t>
  </si>
  <si>
    <t>195.10</t>
  </si>
  <si>
    <t>170.01</t>
  </si>
  <si>
    <t>166.77</t>
  </si>
  <si>
    <t>151.69</t>
  </si>
  <si>
    <t>135.00</t>
  </si>
  <si>
    <t>119.76</t>
  </si>
  <si>
    <t>96.43</t>
  </si>
  <si>
    <t>86.89</t>
  </si>
  <si>
    <t>117.27</t>
  </si>
  <si>
    <t>63.38</t>
  </si>
  <si>
    <t>57.08</t>
  </si>
  <si>
    <t>47.32</t>
  </si>
  <si>
    <t>44.59</t>
  </si>
  <si>
    <t>37.54</t>
  </si>
  <si>
    <t>33.46</t>
  </si>
  <si>
    <t>29.08</t>
  </si>
  <si>
    <t>25.27</t>
  </si>
  <si>
    <t>21.72</t>
  </si>
  <si>
    <t>18.97</t>
  </si>
  <si>
    <t>22.40</t>
  </si>
  <si>
    <t>Other Expenses</t>
  </si>
  <si>
    <t>3,335.04</t>
  </si>
  <si>
    <t>3,143.73</t>
  </si>
  <si>
    <t>3,121.87</t>
  </si>
  <si>
    <t>2,900.70</t>
  </si>
  <si>
    <t>2,393.14</t>
  </si>
  <si>
    <t>2,249.69</t>
  </si>
  <si>
    <t>2,189.39</t>
  </si>
  <si>
    <t>2,221.05</t>
  </si>
  <si>
    <t>1,825.26</t>
  </si>
  <si>
    <t>1,770.23</t>
  </si>
  <si>
    <t>1,984.54</t>
  </si>
  <si>
    <t>1,910.86</t>
  </si>
  <si>
    <t>1,728.59</t>
  </si>
  <si>
    <t>1,582.02</t>
  </si>
  <si>
    <t>1,369.34</t>
  </si>
  <si>
    <t>1,107.77</t>
  </si>
  <si>
    <t>598.18</t>
  </si>
  <si>
    <t>576.45</t>
  </si>
  <si>
    <t>459.58</t>
  </si>
  <si>
    <t>380.52</t>
  </si>
  <si>
    <t>271.20</t>
  </si>
  <si>
    <t>228.14</t>
  </si>
  <si>
    <t>234.64</t>
  </si>
  <si>
    <t>Total Expenses</t>
  </si>
  <si>
    <t>15,470.92</t>
  </si>
  <si>
    <t>14,654.04</t>
  </si>
  <si>
    <t>13,537.85</t>
  </si>
  <si>
    <t>13,226.68</t>
  </si>
  <si>
    <t>11,585.93</t>
  </si>
  <si>
    <t>10,292.09</t>
  </si>
  <si>
    <t>9,432.85</t>
  </si>
  <si>
    <t>8,956.86</t>
  </si>
  <si>
    <t>8,014.79</t>
  </si>
  <si>
    <t>7,307.99</t>
  </si>
  <si>
    <t>6,904.22</t>
  </si>
  <si>
    <t>6,522.97</t>
  </si>
  <si>
    <t>5,779.59</t>
  </si>
  <si>
    <t>5,338.78</t>
  </si>
  <si>
    <t>4,780.35</t>
  </si>
  <si>
    <t>4,074.38</t>
  </si>
  <si>
    <t>3,275.86</t>
  </si>
  <si>
    <t>2,962.61</t>
  </si>
  <si>
    <t>2,407.41</t>
  </si>
  <si>
    <t>2,115.05</t>
  </si>
  <si>
    <t>1,550.33</t>
  </si>
  <si>
    <t>1,438.11</t>
  </si>
  <si>
    <t>1,326.07</t>
  </si>
  <si>
    <t>Profit/Loss Before Exceptional, ExtraOrdinary Items And Tax</t>
  </si>
  <si>
    <t>3,293.34</t>
  </si>
  <si>
    <t>2,892.56</t>
  </si>
  <si>
    <t>2,858.34</t>
  </si>
  <si>
    <t>2,612.33</t>
  </si>
  <si>
    <t>2,145.12</t>
  </si>
  <si>
    <t>2,379.44</t>
  </si>
  <si>
    <t>1,889.26</t>
  </si>
  <si>
    <t>1,716.11</t>
  </si>
  <si>
    <t>1,445.20</t>
  </si>
  <si>
    <t>1,251.16</t>
  </si>
  <si>
    <t>1,141.89</t>
  </si>
  <si>
    <t>740.55</t>
  </si>
  <si>
    <t>562.62</t>
  </si>
  <si>
    <t>332.18</t>
  </si>
  <si>
    <t>252.37</t>
  </si>
  <si>
    <t>198.06</t>
  </si>
  <si>
    <t>128.35</t>
  </si>
  <si>
    <t>183.30</t>
  </si>
  <si>
    <t>213.62</t>
  </si>
  <si>
    <t>116.09</t>
  </si>
  <si>
    <t>196.43</t>
  </si>
  <si>
    <t>195.90</t>
  </si>
  <si>
    <t>159.96</t>
  </si>
  <si>
    <t>Exceptional Items</t>
  </si>
  <si>
    <t>-24.79</t>
  </si>
  <si>
    <t>-2.90</t>
  </si>
  <si>
    <t>227.74</t>
  </si>
  <si>
    <t>19.00</t>
  </si>
  <si>
    <t>-10.33</t>
  </si>
  <si>
    <t>142.06</t>
  </si>
  <si>
    <t>-20.00</t>
  </si>
  <si>
    <t>Profit/Loss Before Tax</t>
  </si>
  <si>
    <t>2,867.77</t>
  </si>
  <si>
    <t>2,855.44</t>
  </si>
  <si>
    <t>2,840.07</t>
  </si>
  <si>
    <t>1,908.26</t>
  </si>
  <si>
    <t>1,131.56</t>
  </si>
  <si>
    <t>882.61</t>
  </si>
  <si>
    <t>542.62</t>
  </si>
  <si>
    <t>Tax Expenses-Continued Operations</t>
  </si>
  <si>
    <t>Current Tax</t>
  </si>
  <si>
    <t>738.13</t>
  </si>
  <si>
    <t>730.63</t>
  </si>
  <si>
    <t>760.70</t>
  </si>
  <si>
    <t>708.50</t>
  </si>
  <si>
    <t>590.36</t>
  </si>
  <si>
    <t>622.53</t>
  </si>
  <si>
    <t>416.86</t>
  </si>
  <si>
    <t>581.36</t>
  </si>
  <si>
    <t>499.56</t>
  </si>
  <si>
    <t>390.20</t>
  </si>
  <si>
    <t>384.07</t>
  </si>
  <si>
    <t>285.68</t>
  </si>
  <si>
    <t>177.25</t>
  </si>
  <si>
    <t>92.85</t>
  </si>
  <si>
    <t>63.71</t>
  </si>
  <si>
    <t>41.52</t>
  </si>
  <si>
    <t>20.67</t>
  </si>
  <si>
    <t>34.38</t>
  </si>
  <si>
    <t>35.60</t>
  </si>
  <si>
    <t>8.44</t>
  </si>
  <si>
    <t>52.08</t>
  </si>
  <si>
    <t>61.71</t>
  </si>
  <si>
    <t>69.80</t>
  </si>
  <si>
    <t>Less: MAT Credit Entitlement</t>
  </si>
  <si>
    <t>13.91</t>
  </si>
  <si>
    <t>Deferred Tax</t>
  </si>
  <si>
    <t>-6.51</t>
  </si>
  <si>
    <t>6.42</t>
  </si>
  <si>
    <t>12.69</t>
  </si>
  <si>
    <t>-7.73</t>
  </si>
  <si>
    <t>-48.43</t>
  </si>
  <si>
    <t>-3.12</t>
  </si>
  <si>
    <t>7.10</t>
  </si>
  <si>
    <t>12.55</t>
  </si>
  <si>
    <t>-2.25</t>
  </si>
  <si>
    <t>17.27</t>
  </si>
  <si>
    <t>-1.60</t>
  </si>
  <si>
    <t>-4.46</t>
  </si>
  <si>
    <t>5.46</t>
  </si>
  <si>
    <t>1.92</t>
  </si>
  <si>
    <t>12.82</t>
  </si>
  <si>
    <t>-16.52</t>
  </si>
  <si>
    <t>12.32</t>
  </si>
  <si>
    <t>-1.13</t>
  </si>
  <si>
    <t>-2.93</t>
  </si>
  <si>
    <t>-0.18</t>
  </si>
  <si>
    <t>-3.75</t>
  </si>
  <si>
    <t>-4.21</t>
  </si>
  <si>
    <t>Tax For Earlier Years</t>
  </si>
  <si>
    <t>12.34</t>
  </si>
  <si>
    <t>Total Tax Expenses</t>
  </si>
  <si>
    <t>731.62</t>
  </si>
  <si>
    <t>737.05</t>
  </si>
  <si>
    <t>773.39</t>
  </si>
  <si>
    <t>700.77</t>
  </si>
  <si>
    <t>541.93</t>
  </si>
  <si>
    <t>619.41</t>
  </si>
  <si>
    <t>423.96</t>
  </si>
  <si>
    <t>593.91</t>
  </si>
  <si>
    <t>497.31</t>
  </si>
  <si>
    <t>407.47</t>
  </si>
  <si>
    <t>382.47</t>
  </si>
  <si>
    <t>260.20</t>
  </si>
  <si>
    <t>172.79</t>
  </si>
  <si>
    <t>98.31</t>
  </si>
  <si>
    <t>65.63</t>
  </si>
  <si>
    <t>52.77</t>
  </si>
  <si>
    <t>4.27</t>
  </si>
  <si>
    <t>52.12</t>
  </si>
  <si>
    <t>41.26</t>
  </si>
  <si>
    <t>10.76</t>
  </si>
  <si>
    <t>54.29</t>
  </si>
  <si>
    <t>57.95</t>
  </si>
  <si>
    <t>65.59</t>
  </si>
  <si>
    <t>Profit/Loss After Tax And Before ExtraOrdinary Items</t>
  </si>
  <si>
    <t>2,561.72</t>
  </si>
  <si>
    <t>2,130.72</t>
  </si>
  <si>
    <t>2,082.05</t>
  </si>
  <si>
    <t>2,139.30</t>
  </si>
  <si>
    <t>1,603.19</t>
  </si>
  <si>
    <t>1,760.03</t>
  </si>
  <si>
    <t>1,484.30</t>
  </si>
  <si>
    <t>1,122.20</t>
  </si>
  <si>
    <t>947.89</t>
  </si>
  <si>
    <t>843.69</t>
  </si>
  <si>
    <t>749.09</t>
  </si>
  <si>
    <t>622.41</t>
  </si>
  <si>
    <t>369.83</t>
  </si>
  <si>
    <t>233.87</t>
  </si>
  <si>
    <t>186.74</t>
  </si>
  <si>
    <t>145.29</t>
  </si>
  <si>
    <t>124.09</t>
  </si>
  <si>
    <t>131.18</t>
  </si>
  <si>
    <t>172.37</t>
  </si>
  <si>
    <t>105.33</t>
  </si>
  <si>
    <t>142.14</t>
  </si>
  <si>
    <t>137.94</t>
  </si>
  <si>
    <t>94.37</t>
  </si>
  <si>
    <t>Profit/Loss From Continuing Operations</t>
  </si>
  <si>
    <t>116.51</t>
  </si>
  <si>
    <t>180.40</t>
  </si>
  <si>
    <t>191.00</t>
  </si>
  <si>
    <t>107.65</t>
  </si>
  <si>
    <t>146.43</t>
  </si>
  <si>
    <t>149.85</t>
  </si>
  <si>
    <t>118.80</t>
  </si>
  <si>
    <t>Profit/Loss For The Period</t>
  </si>
  <si>
    <t>OTHER ADDITIONAL INFORMATION</t>
  </si>
  <si>
    <t>EARNINGS PER SHARE</t>
  </si>
  <si>
    <t>Basic EPS (Rs.)</t>
  </si>
  <si>
    <t>106.35</t>
  </si>
  <si>
    <t>88.46</t>
  </si>
  <si>
    <t>86.44</t>
  </si>
  <si>
    <t>88.82</t>
  </si>
  <si>
    <t>66.56</t>
  </si>
  <si>
    <t>73.12</t>
  </si>
  <si>
    <t>61.75</t>
  </si>
  <si>
    <t>46.71</t>
  </si>
  <si>
    <t>78.96</t>
  </si>
  <si>
    <t>70.31</t>
  </si>
  <si>
    <t>62.44</t>
  </si>
  <si>
    <t>51.90</t>
  </si>
  <si>
    <t>30.87</t>
  </si>
  <si>
    <t>19.57</t>
  </si>
  <si>
    <t>15.63</t>
  </si>
  <si>
    <t>12.16</t>
  </si>
  <si>
    <t>48.77</t>
  </si>
  <si>
    <t>75.51</t>
  </si>
  <si>
    <t>79.95</t>
  </si>
  <si>
    <t>45.06</t>
  </si>
  <si>
    <t>61.29</t>
  </si>
  <si>
    <t>62.72</t>
  </si>
  <si>
    <t>47.31</t>
  </si>
  <si>
    <t>Diluted EPS (Rs.)</t>
  </si>
  <si>
    <t>73.09</t>
  </si>
  <si>
    <t>61.73</t>
  </si>
  <si>
    <t>46.68</t>
  </si>
  <si>
    <t>78.92</t>
  </si>
  <si>
    <t>70.30</t>
  </si>
  <si>
    <t>62.43</t>
  </si>
  <si>
    <t>51.89</t>
  </si>
  <si>
    <t>19.55</t>
  </si>
  <si>
    <t>15.62</t>
  </si>
  <si>
    <t>VALUE OF IMPORTED AND INDIGENIOUS RAW MATERIALS STORES, SPARES AND LOOSE TOOLS</t>
  </si>
  <si>
    <t>Imported Raw Materials</t>
  </si>
  <si>
    <t>4.55</t>
  </si>
  <si>
    <t>7.28</t>
  </si>
  <si>
    <t>8.09</t>
  </si>
  <si>
    <t>6.19</t>
  </si>
  <si>
    <t>1.05</t>
  </si>
  <si>
    <t>166.35</t>
  </si>
  <si>
    <t>45.77</t>
  </si>
  <si>
    <t>0.81</t>
  </si>
  <si>
    <t>1.35</t>
  </si>
  <si>
    <t>2.80</t>
  </si>
  <si>
    <t>1.63</t>
  </si>
  <si>
    <t>29.66</t>
  </si>
  <si>
    <t>8.76</t>
  </si>
  <si>
    <t>Indigenous Raw Materials</t>
  </si>
  <si>
    <t>3,791.89</t>
  </si>
  <si>
    <t>3,585.71</t>
  </si>
  <si>
    <t>3,157.44</t>
  </si>
  <si>
    <t>2,884.23</t>
  </si>
  <si>
    <t>2,653.96</t>
  </si>
  <si>
    <t>2,205.57</t>
  </si>
  <si>
    <t>1,831.37</t>
  </si>
  <si>
    <t>1,766.25</t>
  </si>
  <si>
    <t>1,478.07</t>
  </si>
  <si>
    <t>1,348.28</t>
  </si>
  <si>
    <t>826.33</t>
  </si>
  <si>
    <t>559.61</t>
  </si>
  <si>
    <t>507.79</t>
  </si>
  <si>
    <t>STORES, SPARES AND LOOSE TOOLS</t>
  </si>
  <si>
    <t>Imported Stores And Spares</t>
  </si>
  <si>
    <t>0.28</t>
  </si>
  <si>
    <t>0.09</t>
  </si>
  <si>
    <t>0.10</t>
  </si>
  <si>
    <t>0.05</t>
  </si>
  <si>
    <t>0.33</t>
  </si>
  <si>
    <t>3.98</t>
  </si>
  <si>
    <t>3.95</t>
  </si>
  <si>
    <t>0.64</t>
  </si>
  <si>
    <t>Indigenous Stores And Spares</t>
  </si>
  <si>
    <t>17.56</t>
  </si>
  <si>
    <t>19.26</t>
  </si>
  <si>
    <t>18.33</t>
  </si>
  <si>
    <t>18.19</t>
  </si>
  <si>
    <t>14.04</t>
  </si>
  <si>
    <t>11.89</t>
  </si>
  <si>
    <t>11.57</t>
  </si>
  <si>
    <t>9.78</t>
  </si>
  <si>
    <t>9.97</t>
  </si>
  <si>
    <t>8.88</t>
  </si>
  <si>
    <t>0.61</t>
  </si>
  <si>
    <t>1.58</t>
  </si>
  <si>
    <t>6.22</t>
  </si>
  <si>
    <t>DIVIDEND AND DIVIDEND PERCENTAGE</t>
  </si>
  <si>
    <t>Equity Share Dividend</t>
  </si>
  <si>
    <t>1,806.51</t>
  </si>
  <si>
    <t>1,770.38</t>
  </si>
  <si>
    <t>1,734.25</t>
  </si>
  <si>
    <t>1,360.91</t>
  </si>
  <si>
    <t>1,794.47</t>
  </si>
  <si>
    <t>2,839.66</t>
  </si>
  <si>
    <t>422.27</t>
  </si>
  <si>
    <t>300.15</t>
  </si>
  <si>
    <t>264.13</t>
  </si>
  <si>
    <t>239.95</t>
  </si>
  <si>
    <t>191.88</t>
  </si>
  <si>
    <t>143.91</t>
  </si>
  <si>
    <t>101.66</t>
  </si>
  <si>
    <t>101.53</t>
  </si>
  <si>
    <t>77.64</t>
  </si>
  <si>
    <t>59.73</t>
  </si>
  <si>
    <t>95.56</t>
  </si>
  <si>
    <t>43.00</t>
  </si>
  <si>
    <t>35.84</t>
  </si>
  <si>
    <t>33.45</t>
  </si>
  <si>
    <t>27.23</t>
  </si>
  <si>
    <t>Tax On Dividend</t>
  </si>
  <si>
    <t>61.70</t>
  </si>
  <si>
    <t>53.78</t>
  </si>
  <si>
    <t>48.85</t>
  </si>
  <si>
    <t>39.06</t>
  </si>
  <si>
    <t>24.46</t>
  </si>
  <si>
    <t>17.28</t>
  </si>
  <si>
    <t>16.47</t>
  </si>
  <si>
    <t>12.60</t>
  </si>
  <si>
    <t>9.92</t>
  </si>
  <si>
    <t>16.24</t>
  </si>
  <si>
    <t>7.31</t>
  </si>
  <si>
    <t>6.09</t>
  </si>
  <si>
    <t>5.03</t>
  </si>
  <si>
    <t>4.69</t>
  </si>
  <si>
    <t>3.49</t>
  </si>
  <si>
    <t>Equity Dividend Rate (%)</t>
  </si>
  <si>
    <t>9,050.00</t>
  </si>
  <si>
    <t>7,500.00</t>
  </si>
  <si>
    <t>7,350.00</t>
  </si>
  <si>
    <t>7,200.00</t>
  </si>
  <si>
    <t>5,650.00</t>
  </si>
  <si>
    <t>15,750.00</t>
  </si>
  <si>
    <t>3,500.00</t>
  </si>
  <si>
    <t>1,500.00</t>
  </si>
  <si>
    <t>1,250.00</t>
  </si>
  <si>
    <t>1,100.00</t>
  </si>
  <si>
    <t>1,000.00</t>
  </si>
  <si>
    <t>800.00</t>
  </si>
  <si>
    <t>600.00</t>
  </si>
  <si>
    <t>425.00</t>
  </si>
  <si>
    <t>325.00</t>
  </si>
  <si>
    <t>250.00</t>
  </si>
  <si>
    <t>400.00</t>
  </si>
  <si>
    <t>180.00</t>
  </si>
  <si>
    <t>150.00</t>
  </si>
  <si>
    <t>140.00</t>
  </si>
  <si>
    <t>110.00</t>
  </si>
  <si>
    <t>EQUITIES AND LIABILITIES</t>
  </si>
  <si>
    <t>SHAREHOLDER'S FUNDS</t>
  </si>
  <si>
    <t>Equity Share Capital</t>
  </si>
  <si>
    <t>24.09</t>
  </si>
  <si>
    <t>24.05</t>
  </si>
  <si>
    <t>24.03</t>
  </si>
  <si>
    <t>24.01</t>
  </si>
  <si>
    <t>24.00</t>
  </si>
  <si>
    <t>23.99</t>
  </si>
  <si>
    <t>23.91</t>
  </si>
  <si>
    <t>23.89</t>
  </si>
  <si>
    <t>25.11</t>
  </si>
  <si>
    <t>Total Share Capital</t>
  </si>
  <si>
    <t>Reserves and Surplus</t>
  </si>
  <si>
    <t>4,617.14</t>
  </si>
  <si>
    <t>3,862.46</t>
  </si>
  <si>
    <t>3,503.43</t>
  </si>
  <si>
    <t>3,157.06</t>
  </si>
  <si>
    <t>2,378.45</t>
  </si>
  <si>
    <t>3,267.34</t>
  </si>
  <si>
    <t>4,216.19</t>
  </si>
  <si>
    <t>4,015.42</t>
  </si>
  <si>
    <t>3,211.27</t>
  </si>
  <si>
    <t>2,557.98</t>
  </si>
  <si>
    <t>1,676.16</t>
  </si>
  <si>
    <t>1,211.63</t>
  </si>
  <si>
    <t>829.47</t>
  </si>
  <si>
    <t>612.50</t>
  </si>
  <si>
    <t>496.15</t>
  </si>
  <si>
    <t>427.41</t>
  </si>
  <si>
    <t>372.36</t>
  </si>
  <si>
    <t>800.65</t>
  </si>
  <si>
    <t>731.92</t>
  </si>
  <si>
    <t>590.93</t>
  </si>
  <si>
    <t>525.20</t>
  </si>
  <si>
    <t>419.63</t>
  </si>
  <si>
    <t>405.91</t>
  </si>
  <si>
    <t>Total Reserves and Surplus</t>
  </si>
  <si>
    <t>Total Shareholders Funds</t>
  </si>
  <si>
    <t>4,641.23</t>
  </si>
  <si>
    <t>3,886.55</t>
  </si>
  <si>
    <t>3,527.52</t>
  </si>
  <si>
    <t>3,181.15</t>
  </si>
  <si>
    <t>2,402.54</t>
  </si>
  <si>
    <t>3,319.53</t>
  </si>
  <si>
    <t>4,274.65</t>
  </si>
  <si>
    <t>4,039.45</t>
  </si>
  <si>
    <t>3,235.28</t>
  </si>
  <si>
    <t>2,581.98</t>
  </si>
  <si>
    <t>1,700.16</t>
  </si>
  <si>
    <t>1,235.62</t>
  </si>
  <si>
    <t>853.46</t>
  </si>
  <si>
    <t>636.41</t>
  </si>
  <si>
    <t>520.04</t>
  </si>
  <si>
    <t>451.30</t>
  </si>
  <si>
    <t>396.25</t>
  </si>
  <si>
    <t>824.54</t>
  </si>
  <si>
    <t>755.81</t>
  </si>
  <si>
    <t>614.82</t>
  </si>
  <si>
    <t>549.09</t>
  </si>
  <si>
    <t>443.52</t>
  </si>
  <si>
    <t>431.03</t>
  </si>
  <si>
    <t>NON-CURRENT LIABILITIES</t>
  </si>
  <si>
    <t>Long Term Borrowings</t>
  </si>
  <si>
    <t>285.83</t>
  </si>
  <si>
    <t>712.50</t>
  </si>
  <si>
    <t>904.17</t>
  </si>
  <si>
    <t>1,551.02</t>
  </si>
  <si>
    <t>698.52</t>
  </si>
  <si>
    <t>721.55</t>
  </si>
  <si>
    <t>722.13</t>
  </si>
  <si>
    <t>0.26</t>
  </si>
  <si>
    <t>0.30</t>
  </si>
  <si>
    <t>0.44</t>
  </si>
  <si>
    <t>0.49</t>
  </si>
  <si>
    <t>0.73</t>
  </si>
  <si>
    <t>0.34</t>
  </si>
  <si>
    <t>0.41</t>
  </si>
  <si>
    <t>28.15</t>
  </si>
  <si>
    <t>430.57</t>
  </si>
  <si>
    <t>429.62</t>
  </si>
  <si>
    <t>25.16</t>
  </si>
  <si>
    <t>1.94</t>
  </si>
  <si>
    <t>1.53</t>
  </si>
  <si>
    <t>1.62</t>
  </si>
  <si>
    <t>Deferred Tax Liabilities [Net]</t>
  </si>
  <si>
    <t>7.85</t>
  </si>
  <si>
    <t>10.97</t>
  </si>
  <si>
    <t>3.87</t>
  </si>
  <si>
    <t>9.16</t>
  </si>
  <si>
    <t>13.62</t>
  </si>
  <si>
    <t>8.16</t>
  </si>
  <si>
    <t>6.24</t>
  </si>
  <si>
    <t>24.59</t>
  </si>
  <si>
    <t>24.26</t>
  </si>
  <si>
    <t>22.64</t>
  </si>
  <si>
    <t>15.19</t>
  </si>
  <si>
    <t>17.06</t>
  </si>
  <si>
    <t>20.25</t>
  </si>
  <si>
    <t>Other Long Term Liabilities</t>
  </si>
  <si>
    <t>73.16</t>
  </si>
  <si>
    <t>72.54</t>
  </si>
  <si>
    <t>66.07</t>
  </si>
  <si>
    <t>60.91</t>
  </si>
  <si>
    <t>52.42</t>
  </si>
  <si>
    <t>39.32</t>
  </si>
  <si>
    <t>30.53</t>
  </si>
  <si>
    <t>27.03</t>
  </si>
  <si>
    <t>25.69</t>
  </si>
  <si>
    <t>24.30</t>
  </si>
  <si>
    <t>21.05</t>
  </si>
  <si>
    <t>19.62</t>
  </si>
  <si>
    <t>18.77</t>
  </si>
  <si>
    <t>19.18</t>
  </si>
  <si>
    <t>19.91</t>
  </si>
  <si>
    <t>15.99</t>
  </si>
  <si>
    <t>Long Term Provisions</t>
  </si>
  <si>
    <t>138.56</t>
  </si>
  <si>
    <t>116.82</t>
  </si>
  <si>
    <t>122.68</t>
  </si>
  <si>
    <t>Total Non-Current Liabilities</t>
  </si>
  <si>
    <t>358.99</t>
  </si>
  <si>
    <t>785.04</t>
  </si>
  <si>
    <t>970.24</t>
  </si>
  <si>
    <t>1,611.93</t>
  </si>
  <si>
    <t>750.94</t>
  </si>
  <si>
    <t>768.72</t>
  </si>
  <si>
    <t>763.63</t>
  </si>
  <si>
    <t>31.16</t>
  </si>
  <si>
    <t>25.99</t>
  </si>
  <si>
    <t>24.74</t>
  </si>
  <si>
    <t>21.54</t>
  </si>
  <si>
    <t>20.35</t>
  </si>
  <si>
    <t>28.27</t>
  </si>
  <si>
    <t>171.77</t>
  </si>
  <si>
    <t>173.04</t>
  </si>
  <si>
    <t>575.48</t>
  </si>
  <si>
    <t>454.21</t>
  </si>
  <si>
    <t>49.42</t>
  </si>
  <si>
    <t>24.58</t>
  </si>
  <si>
    <t>16.81</t>
  </si>
  <si>
    <t>CURRENT LIABILITIES</t>
  </si>
  <si>
    <t>Short Term Borrowings</t>
  </si>
  <si>
    <t>1,060.33</t>
  </si>
  <si>
    <t>504.05</t>
  </si>
  <si>
    <t>1,132.97</t>
  </si>
  <si>
    <t>1,110.76</t>
  </si>
  <si>
    <t>1,479.62</t>
  </si>
  <si>
    <t>1,075.70</t>
  </si>
  <si>
    <t>479.99</t>
  </si>
  <si>
    <t>9.01</t>
  </si>
  <si>
    <t>189.24</t>
  </si>
  <si>
    <t>104.16</t>
  </si>
  <si>
    <t>3.25</t>
  </si>
  <si>
    <t>7.74</t>
  </si>
  <si>
    <t>6.14</t>
  </si>
  <si>
    <t>39.19</t>
  </si>
  <si>
    <t>Trade Payables</t>
  </si>
  <si>
    <t>1,781.87</t>
  </si>
  <si>
    <t>1,592.40</t>
  </si>
  <si>
    <t>1,513.14</t>
  </si>
  <si>
    <t>1,308.76</t>
  </si>
  <si>
    <t>1,156.62</t>
  </si>
  <si>
    <t>1,191.09</t>
  </si>
  <si>
    <t>955.98</t>
  </si>
  <si>
    <t>1,032.54</t>
  </si>
  <si>
    <t>866.36</t>
  </si>
  <si>
    <t>643.82</t>
  </si>
  <si>
    <t>659.44</t>
  </si>
  <si>
    <t>615.21</t>
  </si>
  <si>
    <t>484.68</t>
  </si>
  <si>
    <t>333.61</t>
  </si>
  <si>
    <t>336.20</t>
  </si>
  <si>
    <t>239.68</t>
  </si>
  <si>
    <t>133.12</t>
  </si>
  <si>
    <t>2.55</t>
  </si>
  <si>
    <t>93.27</t>
  </si>
  <si>
    <t>85.82</t>
  </si>
  <si>
    <t>86.36</t>
  </si>
  <si>
    <t>73.64</t>
  </si>
  <si>
    <t>154.84</t>
  </si>
  <si>
    <t>Other Current Liabilities</t>
  </si>
  <si>
    <t>516.10</t>
  </si>
  <si>
    <t>658.74</t>
  </si>
  <si>
    <t>675.78</t>
  </si>
  <si>
    <t>917.00</t>
  </si>
  <si>
    <t>762.07</t>
  </si>
  <si>
    <t>695.34</t>
  </si>
  <si>
    <t>596.39</t>
  </si>
  <si>
    <t>361.30</t>
  </si>
  <si>
    <t>319.61</t>
  </si>
  <si>
    <t>271.12</t>
  </si>
  <si>
    <t>191.18</t>
  </si>
  <si>
    <t>176.33</t>
  </si>
  <si>
    <t>148.37</t>
  </si>
  <si>
    <t>210.49</t>
  </si>
  <si>
    <t>518.26</t>
  </si>
  <si>
    <t>119.38</t>
  </si>
  <si>
    <t>187.37</t>
  </si>
  <si>
    <t>263.25</t>
  </si>
  <si>
    <t>153.75</t>
  </si>
  <si>
    <t>152.29</t>
  </si>
  <si>
    <t>138.34</t>
  </si>
  <si>
    <t>132.34</t>
  </si>
  <si>
    <t>1.10</t>
  </si>
  <si>
    <t>Short Term Provisions</t>
  </si>
  <si>
    <t>581.92</t>
  </si>
  <si>
    <t>592.94</t>
  </si>
  <si>
    <t>551.19</t>
  </si>
  <si>
    <t>508.86</t>
  </si>
  <si>
    <t>451.16</t>
  </si>
  <si>
    <t>365.63</t>
  </si>
  <si>
    <t>182.70</t>
  </si>
  <si>
    <t>188.52</t>
  </si>
  <si>
    <t>171.05</t>
  </si>
  <si>
    <t>174.48</t>
  </si>
  <si>
    <t>492.08</t>
  </si>
  <si>
    <t>410.91</t>
  </si>
  <si>
    <t>325.38</t>
  </si>
  <si>
    <t>134.40</t>
  </si>
  <si>
    <t>124.80</t>
  </si>
  <si>
    <t>96.65</t>
  </si>
  <si>
    <t>165.02</t>
  </si>
  <si>
    <t>147.48</t>
  </si>
  <si>
    <t>100.65</t>
  </si>
  <si>
    <t>84.91</t>
  </si>
  <si>
    <t>78.33</t>
  </si>
  <si>
    <t>97.34</t>
  </si>
  <si>
    <t>59.48</t>
  </si>
  <si>
    <t>Total Current Liabilities</t>
  </si>
  <si>
    <t>3,940.22</t>
  </si>
  <si>
    <t>3,348.13</t>
  </si>
  <si>
    <t>3,873.08</t>
  </si>
  <si>
    <t>3,845.38</t>
  </si>
  <si>
    <t>3,849.47</t>
  </si>
  <si>
    <t>3,327.76</t>
  </si>
  <si>
    <t>2,215.06</t>
  </si>
  <si>
    <t>1,582.36</t>
  </si>
  <si>
    <t>1,366.03</t>
  </si>
  <si>
    <t>1,089.42</t>
  </si>
  <si>
    <t>1,342.70</t>
  </si>
  <si>
    <t>1,202.45</t>
  </si>
  <si>
    <t>958.43</t>
  </si>
  <si>
    <t>867.74</t>
  </si>
  <si>
    <t>979.26</t>
  </si>
  <si>
    <t>455.71</t>
  </si>
  <si>
    <t>485.51</t>
  </si>
  <si>
    <t>413.29</t>
  </si>
  <si>
    <t>451.83</t>
  </si>
  <si>
    <t>326.27</t>
  </si>
  <si>
    <t>310.77</t>
  </si>
  <si>
    <t>309.45</t>
  </si>
  <si>
    <t>254.61</t>
  </si>
  <si>
    <t>Total Capital And Liabilities</t>
  </si>
  <si>
    <t>8,940.44</t>
  </si>
  <si>
    <t>8,019.72</t>
  </si>
  <si>
    <t>8,370.84</t>
  </si>
  <si>
    <t>8,638.46</t>
  </si>
  <si>
    <t>7,002.95</t>
  </si>
  <si>
    <t>7,416.01</t>
  </si>
  <si>
    <t>7,253.34</t>
  </si>
  <si>
    <t>5,652.97</t>
  </si>
  <si>
    <t>4,627.30</t>
  </si>
  <si>
    <t>3,696.14</t>
  </si>
  <si>
    <t>3,067.26</t>
  </si>
  <si>
    <t>2,461.99</t>
  </si>
  <si>
    <t>1,844.44</t>
  </si>
  <si>
    <t>1,683.03</t>
  </si>
  <si>
    <t>1,672.34</t>
  </si>
  <si>
    <t>1,482.49</t>
  </si>
  <si>
    <t>1,335.97</t>
  </si>
  <si>
    <t>1,287.25</t>
  </si>
  <si>
    <t>1,232.22</t>
  </si>
  <si>
    <t>942.63</t>
  </si>
  <si>
    <t>876.67</t>
  </si>
  <si>
    <t>770.04</t>
  </si>
  <si>
    <t>705.88</t>
  </si>
  <si>
    <t>ASSETS</t>
  </si>
  <si>
    <t>NON-CURRENT ASSETS</t>
  </si>
  <si>
    <t>Tangible Assets</t>
  </si>
  <si>
    <t>2,426.37</t>
  </si>
  <si>
    <t>2,509.41</t>
  </si>
  <si>
    <t>2,365.04</t>
  </si>
  <si>
    <t>2,220.21</t>
  </si>
  <si>
    <t>1,327.41</t>
  </si>
  <si>
    <t>1,360.02</t>
  </si>
  <si>
    <t>1,416.02</t>
  </si>
  <si>
    <t>1,283.85</t>
  </si>
  <si>
    <t>1,008.31</t>
  </si>
  <si>
    <t>812.47</t>
  </si>
  <si>
    <t>626.13</t>
  </si>
  <si>
    <t>513.25</t>
  </si>
  <si>
    <t>529.81</t>
  </si>
  <si>
    <t>437.76</t>
  </si>
  <si>
    <t>370.63</t>
  </si>
  <si>
    <t>298.68</t>
  </si>
  <si>
    <t>276.00</t>
  </si>
  <si>
    <t>273.24</t>
  </si>
  <si>
    <t>239.33</t>
  </si>
  <si>
    <t>197.02</t>
  </si>
  <si>
    <t>140.51</t>
  </si>
  <si>
    <t>95.91</t>
  </si>
  <si>
    <t>96.77</t>
  </si>
  <si>
    <t>Intangible Assets</t>
  </si>
  <si>
    <t>3.39</t>
  </si>
  <si>
    <t>5.96</t>
  </si>
  <si>
    <t>9.38</t>
  </si>
  <si>
    <t>12.75</t>
  </si>
  <si>
    <t>15.60</t>
  </si>
  <si>
    <t>8.54</t>
  </si>
  <si>
    <t>8.37</t>
  </si>
  <si>
    <t>7.62</t>
  </si>
  <si>
    <t>7.97</t>
  </si>
  <si>
    <t>11.60</t>
  </si>
  <si>
    <t>13.26</t>
  </si>
  <si>
    <t>12.70</t>
  </si>
  <si>
    <t>15.85</t>
  </si>
  <si>
    <t>13.92</t>
  </si>
  <si>
    <t>8.46</t>
  </si>
  <si>
    <t>5.02</t>
  </si>
  <si>
    <t>5.50</t>
  </si>
  <si>
    <t>4.60</t>
  </si>
  <si>
    <t>1.66</t>
  </si>
  <si>
    <t>30.68</t>
  </si>
  <si>
    <t>Capital Work-In-Progress</t>
  </si>
  <si>
    <t>38.35</t>
  </si>
  <si>
    <t>81.97</t>
  </si>
  <si>
    <t>187.48</t>
  </si>
  <si>
    <t>104.47</t>
  </si>
  <si>
    <t>535.27</t>
  </si>
  <si>
    <t>111.66</t>
  </si>
  <si>
    <t>38.92</t>
  </si>
  <si>
    <t>64.91</t>
  </si>
  <si>
    <t>200.28</t>
  </si>
  <si>
    <t>29.77</t>
  </si>
  <si>
    <t>74.50</t>
  </si>
  <si>
    <t>48.22</t>
  </si>
  <si>
    <t>97.22</t>
  </si>
  <si>
    <t>128.44</t>
  </si>
  <si>
    <t>79.73</t>
  </si>
  <si>
    <t>11.64</t>
  </si>
  <si>
    <t>6.02</t>
  </si>
  <si>
    <t>9.69</t>
  </si>
  <si>
    <t>16.03</t>
  </si>
  <si>
    <t>11.08</t>
  </si>
  <si>
    <t>31.70</t>
  </si>
  <si>
    <t>0.86</t>
  </si>
  <si>
    <t>Other Assets</t>
  </si>
  <si>
    <t>45.94</t>
  </si>
  <si>
    <t>47.55</t>
  </si>
  <si>
    <t>46.75</t>
  </si>
  <si>
    <t>60.50</t>
  </si>
  <si>
    <t>34.42</t>
  </si>
  <si>
    <t>35.28</t>
  </si>
  <si>
    <t>36.14</t>
  </si>
  <si>
    <t>36.13</t>
  </si>
  <si>
    <t>14.99</t>
  </si>
  <si>
    <t>15.25</t>
  </si>
  <si>
    <t>Fixed Assets</t>
  </si>
  <si>
    <t>2,514.05</t>
  </si>
  <si>
    <t>2,644.89</t>
  </si>
  <si>
    <t>2,608.65</t>
  </si>
  <si>
    <t>2,397.93</t>
  </si>
  <si>
    <t>1,912.70</t>
  </si>
  <si>
    <t>1,515.50</t>
  </si>
  <si>
    <t>1,499.45</t>
  </si>
  <si>
    <t>1,392.51</t>
  </si>
  <si>
    <t>1,231.55</t>
  </si>
  <si>
    <t>869.09</t>
  </si>
  <si>
    <t>713.89</t>
  </si>
  <si>
    <t>574.17</t>
  </si>
  <si>
    <t>642.88</t>
  </si>
  <si>
    <t>580.12</t>
  </si>
  <si>
    <t>458.82</t>
  </si>
  <si>
    <t>315.40</t>
  </si>
  <si>
    <t>293.14</t>
  </si>
  <si>
    <t>283.86</t>
  </si>
  <si>
    <t>214.40</t>
  </si>
  <si>
    <t>151.64</t>
  </si>
  <si>
    <t>127.65</t>
  </si>
  <si>
    <t>128.30</t>
  </si>
  <si>
    <t>Non-Current Investments</t>
  </si>
  <si>
    <t>2,066.72</t>
  </si>
  <si>
    <t>1,801.03</t>
  </si>
  <si>
    <t>1,080.04</t>
  </si>
  <si>
    <t>1,525.18</t>
  </si>
  <si>
    <t>1,221.61</t>
  </si>
  <si>
    <t>1,657.16</t>
  </si>
  <si>
    <t>2,259.11</t>
  </si>
  <si>
    <t>1,050.97</t>
  </si>
  <si>
    <t>450.65</t>
  </si>
  <si>
    <t>514.18</t>
  </si>
  <si>
    <t>551.25</t>
  </si>
  <si>
    <t>273.14</t>
  </si>
  <si>
    <t>228.95</t>
  </si>
  <si>
    <t>234.10</t>
  </si>
  <si>
    <t>218.40</t>
  </si>
  <si>
    <t>308.94</t>
  </si>
  <si>
    <t>490.64</t>
  </si>
  <si>
    <t>423.10</t>
  </si>
  <si>
    <t>380.83</t>
  </si>
  <si>
    <t>320.05</t>
  </si>
  <si>
    <t>359.86</t>
  </si>
  <si>
    <t>330.08</t>
  </si>
  <si>
    <t>291.32</t>
  </si>
  <si>
    <t>Deferred Tax Assets [Net]</t>
  </si>
  <si>
    <t>35.71</t>
  </si>
  <si>
    <t>29.20</t>
  </si>
  <si>
    <t>35.62</t>
  </si>
  <si>
    <t>48.31</t>
  </si>
  <si>
    <t>40.58</t>
  </si>
  <si>
    <t>8.68</t>
  </si>
  <si>
    <t>6.43</t>
  </si>
  <si>
    <t>22.71</t>
  </si>
  <si>
    <t>21.11</t>
  </si>
  <si>
    <t>31.18</t>
  </si>
  <si>
    <t>14.31</t>
  </si>
  <si>
    <t>25.02</t>
  </si>
  <si>
    <t>1.24</t>
  </si>
  <si>
    <t>13.50</t>
  </si>
  <si>
    <t>13.71</t>
  </si>
  <si>
    <t>13.14</t>
  </si>
  <si>
    <t>Long Term Loans And Advances</t>
  </si>
  <si>
    <t>45.00</t>
  </si>
  <si>
    <t>100.00</t>
  </si>
  <si>
    <t>70.73</t>
  </si>
  <si>
    <t>192.03</t>
  </si>
  <si>
    <t>15.55</t>
  </si>
  <si>
    <t>86.74</t>
  </si>
  <si>
    <t>116.52</t>
  </si>
  <si>
    <t>324.45</t>
  </si>
  <si>
    <t>127.15</t>
  </si>
  <si>
    <t>100.43</t>
  </si>
  <si>
    <t>141.31</t>
  </si>
  <si>
    <t>125.02</t>
  </si>
  <si>
    <t>142.13</t>
  </si>
  <si>
    <t>Other Non-Current Assets</t>
  </si>
  <si>
    <t>91.28</t>
  </si>
  <si>
    <t>108.17</t>
  </si>
  <si>
    <t>126.82</t>
  </si>
  <si>
    <t>96.34</t>
  </si>
  <si>
    <t>157.69</t>
  </si>
  <si>
    <t>97.60</t>
  </si>
  <si>
    <t>123.67</t>
  </si>
  <si>
    <t>82.16</t>
  </si>
  <si>
    <t>185.04</t>
  </si>
  <si>
    <t>37.57</t>
  </si>
  <si>
    <t>37.12</t>
  </si>
  <si>
    <t>12.12</t>
  </si>
  <si>
    <t>26.64</t>
  </si>
  <si>
    <t>23.23</t>
  </si>
  <si>
    <t>25.58</t>
  </si>
  <si>
    <t>16.06</t>
  </si>
  <si>
    <t>34.24</t>
  </si>
  <si>
    <t>46.30</t>
  </si>
  <si>
    <t>Total Non-Current Assets</t>
  </si>
  <si>
    <t>4,752.76</t>
  </si>
  <si>
    <t>4,583.29</t>
  </si>
  <si>
    <t>3,851.13</t>
  </si>
  <si>
    <t>4,217.76</t>
  </si>
  <si>
    <t>3,409.89</t>
  </si>
  <si>
    <t>3,401.08</t>
  </si>
  <si>
    <t>4,048.19</t>
  </si>
  <si>
    <t>2,582.70</t>
  </si>
  <si>
    <t>1,859.78</t>
  </si>
  <si>
    <t>1,691.26</t>
  </si>
  <si>
    <t>1,649.87</t>
  </si>
  <si>
    <t>1,032.69</t>
  </si>
  <si>
    <t>984.38</t>
  </si>
  <si>
    <t>967.65</t>
  </si>
  <si>
    <t>814.36</t>
  </si>
  <si>
    <t>778.59</t>
  </si>
  <si>
    <t>814.95</t>
  </si>
  <si>
    <t>747.91</t>
  </si>
  <si>
    <t>679.76</t>
  </si>
  <si>
    <t>561.26</t>
  </si>
  <si>
    <t>541.06</t>
  </si>
  <si>
    <t>505.67</t>
  </si>
  <si>
    <t>479.06</t>
  </si>
  <si>
    <t>CURRENT ASSETS</t>
  </si>
  <si>
    <t>Current Investments</t>
  </si>
  <si>
    <t>1,617.02</t>
  </si>
  <si>
    <t>1,071.12</t>
  </si>
  <si>
    <t>1,690.68</t>
  </si>
  <si>
    <t>1,798.47</t>
  </si>
  <si>
    <t>802.50</t>
  </si>
  <si>
    <t>1,292.96</t>
  </si>
  <si>
    <t>882.06</t>
  </si>
  <si>
    <t>594.70</t>
  </si>
  <si>
    <t>735.48</t>
  </si>
  <si>
    <t>85.73</t>
  </si>
  <si>
    <t>343.63</t>
  </si>
  <si>
    <t>387.90</t>
  </si>
  <si>
    <t>144.04</t>
  </si>
  <si>
    <t>45.50</t>
  </si>
  <si>
    <t>210.54</t>
  </si>
  <si>
    <t>236.06</t>
  </si>
  <si>
    <t>Inventories</t>
  </si>
  <si>
    <t>1,219.92</t>
  </si>
  <si>
    <t>1,128.90</t>
  </si>
  <si>
    <t>1,075.44</t>
  </si>
  <si>
    <t>1,074.62</t>
  </si>
  <si>
    <t>1,251.64</t>
  </si>
  <si>
    <t>991.28</t>
  </si>
  <si>
    <t>633.53</t>
  </si>
  <si>
    <t>718.89</t>
  </si>
  <si>
    <t>594.58</t>
  </si>
  <si>
    <t>602.61</t>
  </si>
  <si>
    <t>384.01</t>
  </si>
  <si>
    <t>345.74</t>
  </si>
  <si>
    <t>366.86</t>
  </si>
  <si>
    <t>331.49</t>
  </si>
  <si>
    <t>382.28</t>
  </si>
  <si>
    <t>311.20</t>
  </si>
  <si>
    <t>268.34</t>
  </si>
  <si>
    <t>253.63</t>
  </si>
  <si>
    <t>301.53</t>
  </si>
  <si>
    <t>214.94</t>
  </si>
  <si>
    <t>184.80</t>
  </si>
  <si>
    <t>134.22</t>
  </si>
  <si>
    <t>122.25</t>
  </si>
  <si>
    <t>Trade Receivables</t>
  </si>
  <si>
    <t>404.74</t>
  </si>
  <si>
    <t>379.63</t>
  </si>
  <si>
    <t>347.05</t>
  </si>
  <si>
    <t>278.42</t>
  </si>
  <si>
    <t>253.85</t>
  </si>
  <si>
    <t>198.36</t>
  </si>
  <si>
    <t>242.23</t>
  </si>
  <si>
    <t>350.96</t>
  </si>
  <si>
    <t>230.32</t>
  </si>
  <si>
    <t>126.41</t>
  </si>
  <si>
    <t>106.70</t>
  </si>
  <si>
    <t>70.98</t>
  </si>
  <si>
    <t>53.69</t>
  </si>
  <si>
    <t>77.12</t>
  </si>
  <si>
    <t>52.14</t>
  </si>
  <si>
    <t>57.26</t>
  </si>
  <si>
    <t>39.49</t>
  </si>
  <si>
    <t>49.61</t>
  </si>
  <si>
    <t>46.33</t>
  </si>
  <si>
    <t>28.61</t>
  </si>
  <si>
    <t>20.85</t>
  </si>
  <si>
    <t>44.31</t>
  </si>
  <si>
    <t>19.92</t>
  </si>
  <si>
    <t>Cash And Cash Equivalents</t>
  </si>
  <si>
    <t>90.82</t>
  </si>
  <si>
    <t>105.64</t>
  </si>
  <si>
    <t>297.50</t>
  </si>
  <si>
    <t>63.85</t>
  </si>
  <si>
    <t>52.29</t>
  </si>
  <si>
    <t>39.16</t>
  </si>
  <si>
    <t>40.48</t>
  </si>
  <si>
    <t>97.25</t>
  </si>
  <si>
    <t>53.55</t>
  </si>
  <si>
    <t>24.80</t>
  </si>
  <si>
    <t>186.67</t>
  </si>
  <si>
    <t>65.78</t>
  </si>
  <si>
    <t>64.48</t>
  </si>
  <si>
    <t>30.94</t>
  </si>
  <si>
    <t>28.75</t>
  </si>
  <si>
    <t>23.36</t>
  </si>
  <si>
    <t>40.80</t>
  </si>
  <si>
    <t>43.77</t>
  </si>
  <si>
    <t>48.65</t>
  </si>
  <si>
    <t>35.34</t>
  </si>
  <si>
    <t>16.31</t>
  </si>
  <si>
    <t>7.08</t>
  </si>
  <si>
    <t>Short Term Loans And Advances</t>
  </si>
  <si>
    <t>121.00</t>
  </si>
  <si>
    <t>50.00</t>
  </si>
  <si>
    <t>460.00</t>
  </si>
  <si>
    <t>560.00</t>
  </si>
  <si>
    <t>698.00</t>
  </si>
  <si>
    <t>946.09</t>
  </si>
  <si>
    <t>1,075.73</t>
  </si>
  <si>
    <t>1,121.41</t>
  </si>
  <si>
    <t>820.41</t>
  </si>
  <si>
    <t>791.94</t>
  </si>
  <si>
    <t>558.25</t>
  </si>
  <si>
    <t>438.01</t>
  </si>
  <si>
    <t>229.69</t>
  </si>
  <si>
    <t>196.79</t>
  </si>
  <si>
    <t>182.08</t>
  </si>
  <si>
    <t>70.63</t>
  </si>
  <si>
    <t>189.83</t>
  </si>
  <si>
    <t>195.30</t>
  </si>
  <si>
    <t>160.83</t>
  </si>
  <si>
    <t>89.00</t>
  </si>
  <si>
    <t>94.07</t>
  </si>
  <si>
    <t>69.33</t>
  </si>
  <si>
    <t>77.13</t>
  </si>
  <si>
    <t>OtherCurrentAssets</t>
  </si>
  <si>
    <t>734.18</t>
  </si>
  <si>
    <t>701.14</t>
  </si>
  <si>
    <t>649.04</t>
  </si>
  <si>
    <t>645.34</t>
  </si>
  <si>
    <t>534.78</t>
  </si>
  <si>
    <t>475.44</t>
  </si>
  <si>
    <t>332.44</t>
  </si>
  <si>
    <t>243.83</t>
  </si>
  <si>
    <t>289.48</t>
  </si>
  <si>
    <t>344.64</t>
  </si>
  <si>
    <t>0.17</t>
  </si>
  <si>
    <t>0.56</t>
  </si>
  <si>
    <t>0.18</t>
  </si>
  <si>
    <t>Total Current Assets</t>
  </si>
  <si>
    <t>4,187.68</t>
  </si>
  <si>
    <t>3,436.43</t>
  </si>
  <si>
    <t>4,519.71</t>
  </si>
  <si>
    <t>4,420.70</t>
  </si>
  <si>
    <t>3,593.06</t>
  </si>
  <si>
    <t>4,014.93</t>
  </si>
  <si>
    <t>3,205.15</t>
  </si>
  <si>
    <t>3,070.27</t>
  </si>
  <si>
    <t>2,767.52</t>
  </si>
  <si>
    <t>2,004.88</t>
  </si>
  <si>
    <t>1,417.39</t>
  </si>
  <si>
    <t>1,429.30</t>
  </si>
  <si>
    <t>860.06</t>
  </si>
  <si>
    <t>715.38</t>
  </si>
  <si>
    <t>857.98</t>
  </si>
  <si>
    <t>703.90</t>
  </si>
  <si>
    <t>521.02</t>
  </si>
  <si>
    <t>539.34</t>
  </si>
  <si>
    <t>552.46</t>
  </si>
  <si>
    <t>381.37</t>
  </si>
  <si>
    <t>335.61</t>
  </si>
  <si>
    <t>264.36</t>
  </si>
  <si>
    <t>226.82</t>
  </si>
  <si>
    <t>Total Assets</t>
  </si>
  <si>
    <t>CONTINGENT LIABILITIES, COMMITMENTS</t>
  </si>
  <si>
    <t>Contingent Liabilities</t>
  </si>
  <si>
    <t>206.89</t>
  </si>
  <si>
    <t>180.96</t>
  </si>
  <si>
    <t>354.45</t>
  </si>
  <si>
    <t>377.71</t>
  </si>
  <si>
    <t>589.41</t>
  </si>
  <si>
    <t>547.05</t>
  </si>
  <si>
    <t>241.37</t>
  </si>
  <si>
    <t>245.43</t>
  </si>
  <si>
    <t>295.08</t>
  </si>
  <si>
    <t>355.58</t>
  </si>
  <si>
    <t>389.87</t>
  </si>
  <si>
    <t>324.22</t>
  </si>
  <si>
    <t>250.36</t>
  </si>
  <si>
    <t>351.20</t>
  </si>
  <si>
    <t>327.87</t>
  </si>
  <si>
    <t>425.14</t>
  </si>
  <si>
    <t>318.67</t>
  </si>
  <si>
    <t>329.05</t>
  </si>
  <si>
    <t>169.55</t>
  </si>
  <si>
    <t>102.63</t>
  </si>
  <si>
    <t>67.24</t>
  </si>
  <si>
    <t>61.24</t>
  </si>
  <si>
    <t>58.55</t>
  </si>
  <si>
    <t>CIF VALUE OF IMPORTS</t>
  </si>
  <si>
    <t>Raw Materials</t>
  </si>
  <si>
    <t>9.41</t>
  </si>
  <si>
    <t>6.31</t>
  </si>
  <si>
    <t>7.35</t>
  </si>
  <si>
    <t>14.48</t>
  </si>
  <si>
    <t>100.93</t>
  </si>
  <si>
    <t>63.25</t>
  </si>
  <si>
    <t>4.48</t>
  </si>
  <si>
    <t>3.28</t>
  </si>
  <si>
    <t>4.26</t>
  </si>
  <si>
    <t>2.90</t>
  </si>
  <si>
    <t>26.11</t>
  </si>
  <si>
    <t>8.40</t>
  </si>
  <si>
    <t>Stores, Spares And Loose Tools</t>
  </si>
  <si>
    <t>Trade/Other Goods</t>
  </si>
  <si>
    <t>Capital Goods</t>
  </si>
  <si>
    <t>15.86</t>
  </si>
  <si>
    <t>12.30</t>
  </si>
  <si>
    <t>2.21</t>
  </si>
  <si>
    <t>4.74</t>
  </si>
  <si>
    <t>0.21</t>
  </si>
  <si>
    <t>7.04</t>
  </si>
  <si>
    <t>1.00</t>
  </si>
  <si>
    <t>2.93</t>
  </si>
  <si>
    <t>2.40</t>
  </si>
  <si>
    <t>6.21</t>
  </si>
  <si>
    <t>0.20</t>
  </si>
  <si>
    <t>EXPENDITURE IN FOREIGN EXCHANGE</t>
  </si>
  <si>
    <t>Expenditure In Foreign Currency</t>
  </si>
  <si>
    <t>64.38</t>
  </si>
  <si>
    <t>87.47</t>
  </si>
  <si>
    <t>103.50</t>
  </si>
  <si>
    <t>789.65</t>
  </si>
  <si>
    <t>919.47</t>
  </si>
  <si>
    <t>1,510.19</t>
  </si>
  <si>
    <t>293.26</t>
  </si>
  <si>
    <t>194.80</t>
  </si>
  <si>
    <t>165.31</t>
  </si>
  <si>
    <t>5.79</t>
  </si>
  <si>
    <t>3.26</t>
  </si>
  <si>
    <t>6.35</t>
  </si>
  <si>
    <t>1.98</t>
  </si>
  <si>
    <t>1.97</t>
  </si>
  <si>
    <t>1.57</t>
  </si>
  <si>
    <t>3.53</t>
  </si>
  <si>
    <t>2.78</t>
  </si>
  <si>
    <t>1.47</t>
  </si>
  <si>
    <t>1.77</t>
  </si>
  <si>
    <t>0.54</t>
  </si>
  <si>
    <t>REMITTANCES IN FOREIGN CURRENCIES FOR DIVIDENDS</t>
  </si>
  <si>
    <t>Dividend Remittance In Foreign Currency</t>
  </si>
  <si>
    <t>97.39</t>
  </si>
  <si>
    <t>73.04</t>
  </si>
  <si>
    <t>51.74</t>
  </si>
  <si>
    <t>39.57</t>
  </si>
  <si>
    <t>30.43</t>
  </si>
  <si>
    <t>48.69</t>
  </si>
  <si>
    <t>21.91</t>
  </si>
  <si>
    <t>18.26</t>
  </si>
  <si>
    <t>17.04</t>
  </si>
  <si>
    <t>13.39</t>
  </si>
  <si>
    <t>12.17</t>
  </si>
  <si>
    <t>EARNINGS IN FOREIGN EXCHANGE</t>
  </si>
  <si>
    <t>FOB Value Of Goods</t>
  </si>
  <si>
    <t>154.93</t>
  </si>
  <si>
    <t>111.49</t>
  </si>
  <si>
    <t>111.92</t>
  </si>
  <si>
    <t>87.23</t>
  </si>
  <si>
    <t>64.69</t>
  </si>
  <si>
    <t>47.42</t>
  </si>
  <si>
    <t>36.51</t>
  </si>
  <si>
    <t>38.62</t>
  </si>
  <si>
    <t>11.20</t>
  </si>
  <si>
    <t>14.53</t>
  </si>
  <si>
    <t>11.17</t>
  </si>
  <si>
    <t>7.16</t>
  </si>
  <si>
    <t>4.80</t>
  </si>
  <si>
    <t>Other Earnings</t>
  </si>
  <si>
    <t>442.04</t>
  </si>
  <si>
    <t>398.55</t>
  </si>
  <si>
    <t>374.13</t>
  </si>
  <si>
    <t>320.86</t>
  </si>
  <si>
    <t>289.01</t>
  </si>
  <si>
    <t>305.85</t>
  </si>
  <si>
    <t>281.02</t>
  </si>
  <si>
    <t>319.10</t>
  </si>
  <si>
    <t>202.05</t>
  </si>
  <si>
    <t>18.78</t>
  </si>
  <si>
    <t>15.81</t>
  </si>
  <si>
    <t>13.17</t>
  </si>
  <si>
    <t>9.21</t>
  </si>
  <si>
    <t>6.20</t>
  </si>
  <si>
    <t>4.12</t>
  </si>
  <si>
    <t>4.34</t>
  </si>
  <si>
    <t>30.55</t>
  </si>
  <si>
    <t>0.36</t>
  </si>
  <si>
    <t>32.81</t>
  </si>
  <si>
    <t>BONUS DETAILS</t>
  </si>
  <si>
    <t>Bonus Equity Share Capital</t>
  </si>
  <si>
    <t>21.94</t>
  </si>
  <si>
    <t>23.16</t>
  </si>
  <si>
    <t>NON-CURRENT INVESTMENTS</t>
  </si>
  <si>
    <t>Non-Current Investments Quoted Market Value</t>
  </si>
  <si>
    <t>114.11</t>
  </si>
  <si>
    <t>25.00</t>
  </si>
  <si>
    <t>41.51</t>
  </si>
  <si>
    <t>37.27</t>
  </si>
  <si>
    <t>143.42</t>
  </si>
  <si>
    <t>4.29</t>
  </si>
  <si>
    <t>2.15</t>
  </si>
  <si>
    <t>2.12</t>
  </si>
  <si>
    <t>2.88</t>
  </si>
  <si>
    <t>2.02</t>
  </si>
  <si>
    <t>1.41</t>
  </si>
  <si>
    <t>Non-Current Investments Unquoted Book Value</t>
  </si>
  <si>
    <t>437.14</t>
  </si>
  <si>
    <t>248.14</t>
  </si>
  <si>
    <t>197.49</t>
  </si>
  <si>
    <t>202.64</t>
  </si>
  <si>
    <t>186.94</t>
  </si>
  <si>
    <t>171.18</t>
  </si>
  <si>
    <t>566.76</t>
  </si>
  <si>
    <t>423.07</t>
  </si>
  <si>
    <t>380.81</t>
  </si>
  <si>
    <t>352.55</t>
  </si>
  <si>
    <t>392.33</t>
  </si>
  <si>
    <t>228.56</t>
  </si>
  <si>
    <t>291.28</t>
  </si>
  <si>
    <t>CURRENT INVESTMENTS</t>
  </si>
  <si>
    <t>Current Investments Quoted Market Value</t>
  </si>
  <si>
    <t>106.12</t>
  </si>
  <si>
    <t>Current Investments Unquoted Book Value</t>
  </si>
  <si>
    <t>104.42</t>
  </si>
  <si>
    <t>Charts Analysis of 5 years of Britannia Industries Ltd</t>
  </si>
  <si>
    <r>
      <t xml:space="preserve">a)Net Profit Ration </t>
    </r>
    <r>
      <rPr>
        <i/>
        <sz val="11"/>
        <color theme="1"/>
        <rFont val="Times New Roman"/>
        <family val="1"/>
      </rPr>
      <t>(before tax)</t>
    </r>
  </si>
  <si>
    <r>
      <t xml:space="preserve">b)Net Profit Ration </t>
    </r>
    <r>
      <rPr>
        <i/>
        <sz val="11"/>
        <color theme="1"/>
        <rFont val="Times New Roman"/>
        <family val="1"/>
      </rPr>
      <t>(after tax)</t>
    </r>
  </si>
  <si>
    <t>Short-term liquidity improved</t>
  </si>
  <si>
    <t>Immediate liquidity improved</t>
  </si>
  <si>
    <t>Profitability improved</t>
  </si>
  <si>
    <t>Analysis</t>
  </si>
  <si>
    <t>Net profitability improved</t>
  </si>
  <si>
    <t>Shareholder return slightly improved</t>
  </si>
  <si>
    <t>Return generation improved</t>
  </si>
  <si>
    <t>Debt dependence reduced</t>
  </si>
  <si>
    <t>Equity based financing strengthened</t>
  </si>
  <si>
    <t>Inventory efficiency improved</t>
  </si>
  <si>
    <t>Major concern</t>
  </si>
  <si>
    <t>Overall, Britannia showed improved profitability, lower debt dependence and better inventory efficiency. However, the major concern was the sharp decline in working capital turnover, while liquidity remained relatively tight."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</si>
</sst>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 I'!$A$2</c:f>
              <c:strCache>
                <c:ptCount val="1"/>
                <c:pt idx="0">
                  <c:v>a)Current Ratio-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I'!$B$1:$F$1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I'!$B$2:$F$2</c:f>
              <c:numCache>
                <c:formatCode>General</c:formatCode>
                <c:ptCount val="5"/>
                <c:pt idx="0">
                  <c:v>1.0628035997989962</c:v>
                </c:pt>
                <c:pt idx="1">
                  <c:v>1.0263729305612386</c:v>
                </c:pt>
                <c:pt idx="2">
                  <c:v>1.1669549815650593</c:v>
                </c:pt>
                <c:pt idx="3">
                  <c:v>1.1496133021964019</c:v>
                </c:pt>
                <c:pt idx="4">
                  <c:v>0.93339083042600668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B-4281-B254-DA31C9FD9586}"/>
            </c:ext>
          </c:extLst>
        </c:ser>
        <c:ser>
          <c:idx val="1"/>
          <c:order val="1"/>
          <c:tx>
            <c:strRef>
              <c:f>'Table I'!$A$3</c:f>
              <c:strCache>
                <c:ptCount val="1"/>
                <c:pt idx="0">
                  <c:v>b)Liquid Ratio-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I'!$B$1:$F$1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I'!$B$3:$F$3</c:f>
              <c:numCache>
                <c:formatCode>General</c:formatCode>
                <c:ptCount val="5"/>
                <c:pt idx="0">
                  <c:v>0.75319652202161314</c:v>
                </c:pt>
                <c:pt idx="1">
                  <c:v>0.68919964278567425</c:v>
                </c:pt>
                <c:pt idx="2">
                  <c:v>0.88928449709275303</c:v>
                </c:pt>
                <c:pt idx="3">
                  <c:v>0.8701558753621228</c:v>
                </c:pt>
                <c:pt idx="4">
                  <c:v>0.60824477135813504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B-4281-B254-DA31C9FD95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07711631"/>
        <c:axId val="1285391695"/>
      </c:lineChart>
      <c:catAx>
        <c:axId val="13077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91695"/>
        <c:crosses val="autoZero"/>
        <c:auto val="1"/>
        <c:lblAlgn val="ctr"/>
        <c:lblOffset val="100"/>
        <c:noMultiLvlLbl val="0"/>
      </c:catAx>
      <c:valAx>
        <c:axId val="12853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1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'Table I'!$A$6</c:f>
              <c:strCache>
                <c:ptCount val="1"/>
                <c:pt idx="0">
                  <c:v>a)Net Profit Ration (before tax)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I'!$B$5:$F$5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I'!$B$6:$F$6</c:f>
              <c:numCache>
                <c:formatCode>General</c:formatCode>
                <c:ptCount val="5"/>
                <c:pt idx="0">
                  <c:v>18.175717254110914</c:v>
                </c:pt>
                <c:pt idx="1">
                  <c:v>17.01009892509855</c:v>
                </c:pt>
                <c:pt idx="2">
                  <c:v>17.914946291675633</c:v>
                </c:pt>
                <c:pt idx="3">
                  <c:v>18.580619582966964</c:v>
                </c:pt>
                <c:pt idx="4">
                  <c:v>16.289114468480616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8-4331-8A9F-F04EF6E3212A}"/>
            </c:ext>
          </c:extLst>
        </c:ser>
        <c:ser>
          <c:idx val="1"/>
          <c:order val="1"/>
          <c:tx>
            <c:strRef>
              <c:f>'Table I'!$A$7</c:f>
              <c:strCache>
                <c:ptCount val="1"/>
                <c:pt idx="0">
                  <c:v>b)Net Profit Ration (after tax)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I'!$B$5:$F$5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I'!$B$7:$F$7</c:f>
              <c:numCache>
                <c:formatCode>General</c:formatCode>
                <c:ptCount val="5"/>
                <c:pt idx="0">
                  <c:v>14.137956726059564</c:v>
                </c:pt>
                <c:pt idx="1">
                  <c:v>12.638307110293356</c:v>
                </c:pt>
                <c:pt idx="2">
                  <c:v>13.062720255576462</c:v>
                </c:pt>
                <c:pt idx="3">
                  <c:v>13.99596470292677</c:v>
                </c:pt>
                <c:pt idx="4">
                  <c:v>12.173932192475686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8-4331-8A9F-F04EF6E3212A}"/>
            </c:ext>
          </c:extLst>
        </c:ser>
        <c:ser>
          <c:idx val="2"/>
          <c:order val="2"/>
          <c:tx>
            <c:strRef>
              <c:f>'Table I'!$A$8</c:f>
              <c:strCache>
                <c:ptCount val="1"/>
                <c:pt idx="0">
                  <c:v>c)RoE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I'!$B$5:$F$5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I'!$B$8:$F$8</c:f>
              <c:numCache>
                <c:formatCode>General</c:formatCode>
                <c:ptCount val="5"/>
                <c:pt idx="0">
                  <c:v>55.194851364832168</c:v>
                </c:pt>
                <c:pt idx="1">
                  <c:v>54.822914924547476</c:v>
                </c:pt>
                <c:pt idx="2">
                  <c:v>59.023053023087044</c:v>
                </c:pt>
                <c:pt idx="3">
                  <c:v>67.249265202835446</c:v>
                </c:pt>
                <c:pt idx="4">
                  <c:v>66.728961848710128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D8-4331-8A9F-F04EF6E3212A}"/>
            </c:ext>
          </c:extLst>
        </c:ser>
        <c:ser>
          <c:idx val="3"/>
          <c:order val="3"/>
          <c:tx>
            <c:strRef>
              <c:f>'Table I'!$A$9</c:f>
              <c:strCache>
                <c:ptCount val="1"/>
                <c:pt idx="0">
                  <c:v>d)RoI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I'!$B$5:$F$5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I'!$B$9:$F$9</c:f>
              <c:numCache>
                <c:formatCode>General</c:formatCode>
                <c:ptCount val="5"/>
                <c:pt idx="0">
                  <c:v>65.86390198831252</c:v>
                </c:pt>
                <c:pt idx="1">
                  <c:v>61.387450525409982</c:v>
                </c:pt>
                <c:pt idx="2">
                  <c:v>63.485824054640538</c:v>
                </c:pt>
                <c:pt idx="3">
                  <c:v>59.253548866282223</c:v>
                </c:pt>
                <c:pt idx="4">
                  <c:v>68.023897408577184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D8-4331-8A9F-F04EF6E321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95353167"/>
        <c:axId val="1285425775"/>
      </c:lineChart>
      <c:catAx>
        <c:axId val="12953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25775"/>
        <c:crosses val="autoZero"/>
        <c:auto val="1"/>
        <c:lblAlgn val="ctr"/>
        <c:lblOffset val="100"/>
        <c:noMultiLvlLbl val="0"/>
      </c:catAx>
      <c:valAx>
        <c:axId val="12854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 Ratios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 I'!$A$12</c:f>
              <c:strCache>
                <c:ptCount val="1"/>
                <c:pt idx="0">
                  <c:v>a)Debt-Equity Ratio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I'!$B$11:$F$11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I'!$B$12:$F$12</c:f>
              <c:numCache>
                <c:formatCode>General</c:formatCode>
                <c:ptCount val="5"/>
                <c:pt idx="0">
                  <c:v>7.7348030586719477E-2</c:v>
                </c:pt>
                <c:pt idx="1">
                  <c:v>0.20198891047329892</c:v>
                </c:pt>
                <c:pt idx="2">
                  <c:v>0.2750487594684084</c:v>
                </c:pt>
                <c:pt idx="3">
                  <c:v>0.50671298115461394</c:v>
                </c:pt>
                <c:pt idx="4">
                  <c:v>0.31256087307599456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C-495D-B257-F5B44B1A9E06}"/>
            </c:ext>
          </c:extLst>
        </c:ser>
        <c:ser>
          <c:idx val="1"/>
          <c:order val="1"/>
          <c:tx>
            <c:strRef>
              <c:f>'Table I'!$A$13</c:f>
              <c:strCache>
                <c:ptCount val="1"/>
                <c:pt idx="0">
                  <c:v>b)Proprietory Ratio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I'!$B$11:$F$11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I'!$B$13:$F$13</c:f>
              <c:numCache>
                <c:formatCode>General</c:formatCode>
                <c:ptCount val="5"/>
                <c:pt idx="0">
                  <c:v>0.51912769393900071</c:v>
                </c:pt>
                <c:pt idx="1">
                  <c:v>0.48462415146663473</c:v>
                </c:pt>
                <c:pt idx="2">
                  <c:v>0.42140573705864642</c:v>
                </c:pt>
                <c:pt idx="3">
                  <c:v>0.3682542953257873</c:v>
                </c:pt>
                <c:pt idx="4">
                  <c:v>0.3430754182166087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3C-495D-B257-F5B44B1A9E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6057823"/>
        <c:axId val="1285430095"/>
      </c:lineChart>
      <c:catAx>
        <c:axId val="8660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30095"/>
        <c:crosses val="autoZero"/>
        <c:auto val="1"/>
        <c:lblAlgn val="ctr"/>
        <c:lblOffset val="100"/>
        <c:noMultiLvlLbl val="0"/>
      </c:catAx>
      <c:valAx>
        <c:axId val="12854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57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 I'!$A$16</c:f>
              <c:strCache>
                <c:ptCount val="1"/>
                <c:pt idx="0">
                  <c:v>a)Inventory Turnover Ratio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I'!$B$15:$F$15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I'!$B$16:$F$16</c:f>
              <c:numCache>
                <c:formatCode>General</c:formatCode>
                <c:ptCount val="5"/>
                <c:pt idx="0">
                  <c:v>16.157018529417009</c:v>
                </c:pt>
                <c:pt idx="1">
                  <c:v>14.49469964664311</c:v>
                </c:pt>
                <c:pt idx="2">
                  <c:v>14.826442052779923</c:v>
                </c:pt>
                <c:pt idx="3">
                  <c:v>13.868205449250116</c:v>
                </c:pt>
                <c:pt idx="4">
                  <c:v>11.213324137226351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A-4C4E-992D-039107E699B2}"/>
            </c:ext>
          </c:extLst>
        </c:ser>
        <c:ser>
          <c:idx val="1"/>
          <c:order val="1"/>
          <c:tx>
            <c:strRef>
              <c:f>'Table I'!$A$17</c:f>
              <c:strCache>
                <c:ptCount val="1"/>
                <c:pt idx="0">
                  <c:v>b)Working Capital Turnover Ratio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I'!$B$15:$F$15</c:f>
              <c:strCache>
                <c:ptCount val="5"/>
                <c:pt idx="0">
                  <c:v>2025-26</c:v>
                </c:pt>
                <c:pt idx="1">
                  <c:v>2024-25</c:v>
                </c:pt>
                <c:pt idx="2">
                  <c:v>2023-24</c:v>
                </c:pt>
                <c:pt idx="3">
                  <c:v>2022-23</c:v>
                </c:pt>
                <c:pt idx="4">
                  <c:v>2021-22</c:v>
                </c:pt>
              </c:strCache>
            </c:strRef>
          </c:cat>
          <c:val>
            <c:numRef>
              <c:f>'Table I'!$B$17:$F$17</c:f>
              <c:numCache>
                <c:formatCode>General</c:formatCode>
                <c:ptCount val="5"/>
                <c:pt idx="0">
                  <c:v>73.221732805301727</c:v>
                </c:pt>
                <c:pt idx="1">
                  <c:v>190.93114382786018</c:v>
                </c:pt>
                <c:pt idx="2">
                  <c:v>24.649134744753564</c:v>
                </c:pt>
                <c:pt idx="3">
                  <c:v>26.568031704095127</c:v>
                </c:pt>
                <c:pt idx="4">
                  <c:v>-51.359307359307394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A-4C4E-992D-039107E699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07882559"/>
        <c:axId val="1285498255"/>
      </c:lineChart>
      <c:catAx>
        <c:axId val="130788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98255"/>
        <c:crosses val="autoZero"/>
        <c:auto val="1"/>
        <c:lblAlgn val="ctr"/>
        <c:lblOffset val="100"/>
        <c:noMultiLvlLbl val="0"/>
      </c:catAx>
      <c:valAx>
        <c:axId val="128549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8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BFC324-5B07-43B8-89E3-03825FC3A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311150</xdr:colOff>
      <xdr:row>2</xdr:row>
      <xdr:rowOff>6350</xdr:rowOff>
    </xdr:from>
    <xdr:to>
      <xdr:col>15</xdr:col>
      <xdr:colOff>6350</xdr:colOff>
      <xdr:row>16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841766-ED63-4153-8344-56EAB46FC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12700</xdr:rowOff>
    </xdr:from>
    <xdr:to>
      <xdr:col>7</xdr:col>
      <xdr:colOff>304800</xdr:colOff>
      <xdr:row>31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40D0D7-5AEB-43B3-9A08-A30ACEA7D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317500</xdr:colOff>
      <xdr:row>17</xdr:row>
      <xdr:rowOff>12700</xdr:rowOff>
    </xdr:from>
    <xdr:to>
      <xdr:col>15</xdr:col>
      <xdr:colOff>12700</xdr:colOff>
      <xdr:row>31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0D6D9C-BD44-4B90-B37B-6C7E19725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406400</xdr:colOff>
      <xdr:row>1</xdr:row>
      <xdr:rowOff>146050</xdr:rowOff>
    </xdr:from>
    <xdr:to>
      <xdr:col>12</xdr:col>
      <xdr:colOff>400050</xdr:colOff>
      <xdr:row>3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281D1F-8BDC-FE0B-3904-77B4B68BC133}"/>
            </a:ext>
          </a:extLst>
        </xdr:cNvPr>
        <xdr:cNvSpPr txBox="1"/>
      </xdr:nvSpPr>
      <xdr:spPr>
        <a:xfrm>
          <a:off x="5892800" y="368300"/>
          <a:ext cx="182245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Profitability</a:t>
          </a:r>
          <a:r>
            <a:rPr lang="en-US" sz="1400" b="1" baseline="0"/>
            <a:t> </a:t>
          </a:r>
          <a:r>
            <a:rPr lang="en-US"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Ratios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FC1E-FAF1-4968-AED8-7D3EE1D16101}">
  <dimension ref="A1:X44"/>
  <sheetViews>
    <sheetView tabSelected="1" workbookViewId="0"/>
  </sheetViews>
  <sheetFormatPr defaultRowHeight="14.5" x14ac:dyDescent="0.35"/>
  <cols>
    <col min="1" max="1" width="39.54296875" customWidth="1"/>
  </cols>
  <sheetData>
    <row r="1" spans="1:24" ht="15.5" x14ac:dyDescent="0.3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</row>
    <row r="2" spans="1:24" ht="15.5" x14ac:dyDescent="0.35">
      <c r="A2" s="1" t="s">
        <v>47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</row>
    <row r="3" spans="1:24" ht="15.5" x14ac:dyDescent="0.35">
      <c r="A3" s="1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</row>
    <row r="4" spans="1:24" ht="15.5" x14ac:dyDescent="0.35">
      <c r="A4" s="1" t="s">
        <v>72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  <c r="W4" t="s">
        <v>87</v>
      </c>
      <c r="X4" t="s">
        <v>88</v>
      </c>
    </row>
    <row r="5" spans="1:24" s="5" customFormat="1" ht="15.5" x14ac:dyDescent="0.35">
      <c r="A5" s="6" t="s">
        <v>89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90</v>
      </c>
      <c r="K5" s="6" t="s">
        <v>91</v>
      </c>
      <c r="L5" s="6" t="s">
        <v>92</v>
      </c>
      <c r="M5" s="6" t="s">
        <v>93</v>
      </c>
      <c r="N5" s="6" t="s">
        <v>94</v>
      </c>
      <c r="O5" s="6" t="s">
        <v>95</v>
      </c>
      <c r="P5" s="6" t="s">
        <v>96</v>
      </c>
      <c r="Q5" s="6" t="s">
        <v>97</v>
      </c>
      <c r="R5" s="6" t="s">
        <v>98</v>
      </c>
      <c r="S5" s="6" t="s">
        <v>99</v>
      </c>
      <c r="T5" s="6" t="s">
        <v>100</v>
      </c>
      <c r="U5" s="6" t="s">
        <v>101</v>
      </c>
      <c r="V5" s="6" t="s">
        <v>102</v>
      </c>
      <c r="W5" s="6" t="s">
        <v>103</v>
      </c>
      <c r="X5" s="6" t="s">
        <v>104</v>
      </c>
    </row>
    <row r="6" spans="1:24" ht="15.5" x14ac:dyDescent="0.35">
      <c r="A6" s="1" t="s">
        <v>105</v>
      </c>
      <c r="B6" t="s">
        <v>106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98</v>
      </c>
      <c r="S6" t="s">
        <v>99</v>
      </c>
      <c r="T6" t="s">
        <v>100</v>
      </c>
      <c r="U6" t="s">
        <v>101</v>
      </c>
      <c r="V6" t="s">
        <v>102</v>
      </c>
      <c r="W6" t="s">
        <v>103</v>
      </c>
      <c r="X6" t="s">
        <v>104</v>
      </c>
    </row>
    <row r="7" spans="1:24" ht="15.5" x14ac:dyDescent="0.35">
      <c r="A7" s="1" t="s">
        <v>122</v>
      </c>
      <c r="B7" t="s">
        <v>123</v>
      </c>
      <c r="C7" t="s">
        <v>124</v>
      </c>
      <c r="D7" t="s">
        <v>125</v>
      </c>
      <c r="E7" t="s">
        <v>126</v>
      </c>
      <c r="F7" t="s">
        <v>127</v>
      </c>
      <c r="G7" t="s">
        <v>128</v>
      </c>
      <c r="H7" t="s">
        <v>129</v>
      </c>
      <c r="I7" t="s">
        <v>130</v>
      </c>
      <c r="J7" t="s">
        <v>131</v>
      </c>
      <c r="K7" t="s">
        <v>132</v>
      </c>
      <c r="L7" t="s">
        <v>133</v>
      </c>
      <c r="M7" t="s">
        <v>134</v>
      </c>
      <c r="N7" t="s">
        <v>135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  <c r="T7" t="s">
        <v>141</v>
      </c>
      <c r="U7" t="s">
        <v>142</v>
      </c>
      <c r="V7" t="s">
        <v>143</v>
      </c>
      <c r="W7" t="s">
        <v>144</v>
      </c>
      <c r="X7" t="s">
        <v>145</v>
      </c>
    </row>
    <row r="8" spans="1:24" ht="15.5" x14ac:dyDescent="0.35">
      <c r="A8" s="1" t="s">
        <v>146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  <c r="M8" t="s">
        <v>158</v>
      </c>
      <c r="N8" t="s">
        <v>159</v>
      </c>
      <c r="O8" t="s">
        <v>160</v>
      </c>
      <c r="P8" t="s">
        <v>161</v>
      </c>
      <c r="Q8" t="s">
        <v>162</v>
      </c>
      <c r="R8" t="s">
        <v>163</v>
      </c>
      <c r="S8" t="s">
        <v>164</v>
      </c>
      <c r="T8" t="s">
        <v>165</v>
      </c>
      <c r="U8" t="s">
        <v>166</v>
      </c>
      <c r="V8" t="s">
        <v>167</v>
      </c>
      <c r="W8" t="s">
        <v>168</v>
      </c>
      <c r="X8" t="s">
        <v>169</v>
      </c>
    </row>
    <row r="9" spans="1:24" ht="15.5" x14ac:dyDescent="0.35">
      <c r="A9" s="1" t="s">
        <v>170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</row>
    <row r="10" spans="1:24" ht="15.5" x14ac:dyDescent="0.35">
      <c r="A10" s="1" t="s">
        <v>171</v>
      </c>
      <c r="B10" t="s">
        <v>172</v>
      </c>
      <c r="C10" t="s">
        <v>173</v>
      </c>
      <c r="D10" t="s">
        <v>174</v>
      </c>
      <c r="E10" t="s">
        <v>175</v>
      </c>
      <c r="F10" t="s">
        <v>176</v>
      </c>
      <c r="G10" t="s">
        <v>177</v>
      </c>
      <c r="H10" t="s">
        <v>178</v>
      </c>
      <c r="I10" t="s">
        <v>179</v>
      </c>
      <c r="J10" t="s">
        <v>180</v>
      </c>
      <c r="K10" t="s">
        <v>181</v>
      </c>
      <c r="L10" t="s">
        <v>182</v>
      </c>
      <c r="M10" t="s">
        <v>183</v>
      </c>
      <c r="N10" t="s">
        <v>184</v>
      </c>
      <c r="O10" t="s">
        <v>185</v>
      </c>
      <c r="P10" t="s">
        <v>186</v>
      </c>
      <c r="Q10" t="s">
        <v>187</v>
      </c>
      <c r="R10" t="s">
        <v>188</v>
      </c>
      <c r="S10" t="s">
        <v>189</v>
      </c>
      <c r="T10" t="s">
        <v>190</v>
      </c>
      <c r="U10" t="s">
        <v>191</v>
      </c>
      <c r="V10" t="s">
        <v>192</v>
      </c>
      <c r="W10" t="s">
        <v>193</v>
      </c>
      <c r="X10" t="s">
        <v>194</v>
      </c>
    </row>
    <row r="11" spans="1:24" ht="15.5" x14ac:dyDescent="0.35">
      <c r="A11" s="1" t="s">
        <v>195</v>
      </c>
      <c r="B11" t="s">
        <v>196</v>
      </c>
      <c r="C11" t="s">
        <v>197</v>
      </c>
      <c r="D11" t="s">
        <v>198</v>
      </c>
      <c r="E11" t="s">
        <v>199</v>
      </c>
      <c r="F11" t="s">
        <v>200</v>
      </c>
      <c r="G11" t="s">
        <v>201</v>
      </c>
      <c r="H11" t="s">
        <v>202</v>
      </c>
      <c r="I11" t="s">
        <v>203</v>
      </c>
      <c r="J11" t="s">
        <v>204</v>
      </c>
      <c r="K11" t="s">
        <v>205</v>
      </c>
      <c r="L11" t="s">
        <v>206</v>
      </c>
      <c r="M11" t="s">
        <v>207</v>
      </c>
      <c r="N11" t="s">
        <v>208</v>
      </c>
      <c r="O11" t="s">
        <v>209</v>
      </c>
      <c r="P11" t="s">
        <v>210</v>
      </c>
      <c r="Q11" t="s">
        <v>211</v>
      </c>
      <c r="R11" t="s">
        <v>212</v>
      </c>
      <c r="S11" t="s">
        <v>213</v>
      </c>
      <c r="T11" t="s">
        <v>214</v>
      </c>
      <c r="U11" t="s">
        <v>215</v>
      </c>
      <c r="V11" t="s">
        <v>216</v>
      </c>
      <c r="W11" t="s">
        <v>217</v>
      </c>
      <c r="X11" t="s">
        <v>218</v>
      </c>
    </row>
    <row r="12" spans="1:24" ht="15.5" x14ac:dyDescent="0.35">
      <c r="A12" s="1" t="s">
        <v>219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220</v>
      </c>
      <c r="S12" t="s">
        <v>221</v>
      </c>
      <c r="T12" t="s">
        <v>222</v>
      </c>
      <c r="U12" t="s">
        <v>223</v>
      </c>
      <c r="V12" t="s">
        <v>224</v>
      </c>
      <c r="W12" t="s">
        <v>225</v>
      </c>
      <c r="X12" t="s">
        <v>226</v>
      </c>
    </row>
    <row r="13" spans="1:24" ht="15.5" x14ac:dyDescent="0.35">
      <c r="A13" s="1" t="s">
        <v>227</v>
      </c>
      <c r="B13" t="s">
        <v>228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  <c r="H13" t="s">
        <v>234</v>
      </c>
      <c r="I13" t="s">
        <v>235</v>
      </c>
      <c r="J13" t="s">
        <v>236</v>
      </c>
      <c r="K13" t="s">
        <v>237</v>
      </c>
      <c r="L13" t="s">
        <v>238</v>
      </c>
      <c r="M13" t="s">
        <v>239</v>
      </c>
      <c r="N13" t="s">
        <v>240</v>
      </c>
      <c r="O13" t="s">
        <v>241</v>
      </c>
      <c r="P13" t="s">
        <v>242</v>
      </c>
      <c r="Q13" t="s">
        <v>243</v>
      </c>
      <c r="R13" t="s">
        <v>244</v>
      </c>
      <c r="S13" t="s">
        <v>245</v>
      </c>
      <c r="T13" t="s">
        <v>246</v>
      </c>
      <c r="U13" t="s">
        <v>247</v>
      </c>
      <c r="V13" t="s">
        <v>248</v>
      </c>
      <c r="W13" t="s">
        <v>249</v>
      </c>
      <c r="X13" t="s">
        <v>250</v>
      </c>
    </row>
    <row r="14" spans="1:24" ht="15.5" x14ac:dyDescent="0.35">
      <c r="A14" s="1" t="s">
        <v>251</v>
      </c>
      <c r="B14" t="s">
        <v>252</v>
      </c>
      <c r="C14" t="s">
        <v>253</v>
      </c>
      <c r="D14" t="s">
        <v>254</v>
      </c>
      <c r="E14" t="s">
        <v>255</v>
      </c>
      <c r="F14" t="s">
        <v>256</v>
      </c>
      <c r="G14" t="s">
        <v>257</v>
      </c>
      <c r="H14" t="s">
        <v>258</v>
      </c>
      <c r="I14" t="s">
        <v>259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266</v>
      </c>
      <c r="Q14" t="s">
        <v>267</v>
      </c>
      <c r="R14" t="s">
        <v>268</v>
      </c>
      <c r="S14" t="s">
        <v>269</v>
      </c>
      <c r="T14" t="s">
        <v>270</v>
      </c>
      <c r="U14" t="s">
        <v>271</v>
      </c>
      <c r="V14" t="s">
        <v>272</v>
      </c>
      <c r="W14" t="s">
        <v>273</v>
      </c>
      <c r="X14" t="s">
        <v>274</v>
      </c>
    </row>
    <row r="15" spans="1:24" ht="15.5" x14ac:dyDescent="0.35">
      <c r="A15" s="1" t="s">
        <v>275</v>
      </c>
      <c r="B15" t="s">
        <v>276</v>
      </c>
      <c r="C15" t="s">
        <v>277</v>
      </c>
      <c r="D15" t="s">
        <v>278</v>
      </c>
      <c r="E15" t="s">
        <v>279</v>
      </c>
      <c r="F15" t="s">
        <v>280</v>
      </c>
      <c r="G15" t="s">
        <v>281</v>
      </c>
      <c r="H15" t="s">
        <v>282</v>
      </c>
      <c r="I15" t="s">
        <v>283</v>
      </c>
      <c r="J15" t="s">
        <v>284</v>
      </c>
      <c r="K15" t="s">
        <v>285</v>
      </c>
      <c r="L15" t="s">
        <v>286</v>
      </c>
      <c r="M15" t="s">
        <v>287</v>
      </c>
      <c r="N15" t="s">
        <v>288</v>
      </c>
      <c r="O15" t="s">
        <v>289</v>
      </c>
      <c r="P15" t="s">
        <v>290</v>
      </c>
      <c r="Q15" t="s">
        <v>291</v>
      </c>
      <c r="R15" t="s">
        <v>292</v>
      </c>
      <c r="S15" t="s">
        <v>293</v>
      </c>
      <c r="T15" t="s">
        <v>294</v>
      </c>
      <c r="U15" t="s">
        <v>295</v>
      </c>
      <c r="V15" t="s">
        <v>296</v>
      </c>
      <c r="W15" t="s">
        <v>297</v>
      </c>
      <c r="X15" t="s">
        <v>298</v>
      </c>
    </row>
    <row r="16" spans="1:24" ht="15.5" x14ac:dyDescent="0.35">
      <c r="A16" s="1" t="s">
        <v>299</v>
      </c>
      <c r="B16" t="s">
        <v>300</v>
      </c>
      <c r="C16" t="s">
        <v>301</v>
      </c>
      <c r="D16" t="s">
        <v>302</v>
      </c>
      <c r="E16" t="s">
        <v>303</v>
      </c>
      <c r="F16" t="s">
        <v>304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310</v>
      </c>
      <c r="M16" t="s">
        <v>311</v>
      </c>
      <c r="N16" t="s">
        <v>312</v>
      </c>
      <c r="O16" t="s">
        <v>313</v>
      </c>
      <c r="P16" t="s">
        <v>314</v>
      </c>
      <c r="Q16" t="s">
        <v>315</v>
      </c>
      <c r="R16" t="s">
        <v>316</v>
      </c>
      <c r="S16" t="s">
        <v>317</v>
      </c>
      <c r="T16" t="s">
        <v>318</v>
      </c>
      <c r="U16" t="s">
        <v>319</v>
      </c>
      <c r="V16" t="s">
        <v>320</v>
      </c>
      <c r="W16" t="s">
        <v>321</v>
      </c>
      <c r="X16" t="s">
        <v>322</v>
      </c>
    </row>
    <row r="17" spans="1:24" ht="15.5" x14ac:dyDescent="0.35">
      <c r="A17" s="1" t="s">
        <v>323</v>
      </c>
      <c r="B17" t="s">
        <v>324</v>
      </c>
      <c r="C17" t="s">
        <v>325</v>
      </c>
      <c r="D17" t="s">
        <v>326</v>
      </c>
      <c r="E17" t="s">
        <v>327</v>
      </c>
      <c r="F17" t="s">
        <v>328</v>
      </c>
      <c r="G17" t="s">
        <v>329</v>
      </c>
      <c r="H17" t="s">
        <v>330</v>
      </c>
      <c r="I17" t="s">
        <v>331</v>
      </c>
      <c r="J17" t="s">
        <v>332</v>
      </c>
      <c r="K17" t="s">
        <v>333</v>
      </c>
      <c r="L17" t="s">
        <v>334</v>
      </c>
      <c r="M17" t="s">
        <v>335</v>
      </c>
      <c r="N17" t="s">
        <v>336</v>
      </c>
      <c r="O17" t="s">
        <v>337</v>
      </c>
      <c r="P17" t="s">
        <v>338</v>
      </c>
      <c r="Q17" t="s">
        <v>339</v>
      </c>
      <c r="R17" t="s">
        <v>340</v>
      </c>
      <c r="S17" t="s">
        <v>341</v>
      </c>
      <c r="T17" t="s">
        <v>342</v>
      </c>
      <c r="U17" t="s">
        <v>343</v>
      </c>
      <c r="V17" t="s">
        <v>344</v>
      </c>
      <c r="W17" t="s">
        <v>345</v>
      </c>
      <c r="X17" t="s">
        <v>346</v>
      </c>
    </row>
    <row r="18" spans="1:24" ht="15.5" x14ac:dyDescent="0.35">
      <c r="A18" s="1" t="s">
        <v>347</v>
      </c>
      <c r="B18" t="s">
        <v>348</v>
      </c>
      <c r="C18" t="s">
        <v>349</v>
      </c>
      <c r="D18" t="s">
        <v>350</v>
      </c>
      <c r="E18" t="s">
        <v>351</v>
      </c>
      <c r="F18" t="s">
        <v>352</v>
      </c>
      <c r="G18" t="s">
        <v>353</v>
      </c>
      <c r="H18" t="s">
        <v>354</v>
      </c>
      <c r="I18" t="s">
        <v>355</v>
      </c>
      <c r="J18" t="s">
        <v>356</v>
      </c>
      <c r="K18" t="s">
        <v>357</v>
      </c>
      <c r="L18" t="s">
        <v>358</v>
      </c>
      <c r="M18" t="s">
        <v>359</v>
      </c>
      <c r="N18" t="s">
        <v>360</v>
      </c>
      <c r="O18" t="s">
        <v>361</v>
      </c>
      <c r="P18" t="s">
        <v>362</v>
      </c>
      <c r="Q18" t="s">
        <v>363</v>
      </c>
      <c r="R18" t="s">
        <v>364</v>
      </c>
      <c r="S18" t="s">
        <v>365</v>
      </c>
      <c r="T18" t="s">
        <v>366</v>
      </c>
      <c r="U18" t="s">
        <v>367</v>
      </c>
      <c r="V18" t="s">
        <v>368</v>
      </c>
      <c r="W18" t="s">
        <v>369</v>
      </c>
      <c r="X18" t="s">
        <v>370</v>
      </c>
    </row>
    <row r="19" spans="1:24" ht="15.5" x14ac:dyDescent="0.35">
      <c r="A19" s="1" t="s">
        <v>371</v>
      </c>
      <c r="B19" t="s">
        <v>372</v>
      </c>
      <c r="C19" t="s">
        <v>373</v>
      </c>
      <c r="D19" t="s">
        <v>374</v>
      </c>
      <c r="E19" t="s">
        <v>375</v>
      </c>
      <c r="F19" t="s">
        <v>376</v>
      </c>
      <c r="G19" t="s">
        <v>377</v>
      </c>
      <c r="H19" t="s">
        <v>378</v>
      </c>
      <c r="I19" t="s">
        <v>379</v>
      </c>
      <c r="J19" t="s">
        <v>380</v>
      </c>
      <c r="K19" t="s">
        <v>381</v>
      </c>
      <c r="L19" t="s">
        <v>382</v>
      </c>
      <c r="M19" t="s">
        <v>383</v>
      </c>
      <c r="N19" t="s">
        <v>384</v>
      </c>
      <c r="O19" t="s">
        <v>385</v>
      </c>
      <c r="P19" t="s">
        <v>386</v>
      </c>
      <c r="Q19" t="s">
        <v>387</v>
      </c>
      <c r="R19" t="s">
        <v>388</v>
      </c>
      <c r="S19" t="s">
        <v>389</v>
      </c>
      <c r="T19" t="s">
        <v>390</v>
      </c>
      <c r="U19" t="s">
        <v>391</v>
      </c>
      <c r="V19" t="s">
        <v>392</v>
      </c>
      <c r="W19" t="s">
        <v>393</v>
      </c>
      <c r="X19" t="s">
        <v>394</v>
      </c>
    </row>
    <row r="20" spans="1:24" ht="15.5" x14ac:dyDescent="0.35">
      <c r="A20" s="1" t="s">
        <v>395</v>
      </c>
      <c r="B20" t="s">
        <v>73</v>
      </c>
      <c r="C20" t="s">
        <v>396</v>
      </c>
      <c r="D20" t="s">
        <v>397</v>
      </c>
      <c r="E20" t="s">
        <v>398</v>
      </c>
      <c r="F20" t="s">
        <v>73</v>
      </c>
      <c r="G20" t="s">
        <v>73</v>
      </c>
      <c r="H20" t="s">
        <v>399</v>
      </c>
      <c r="I20" t="s">
        <v>73</v>
      </c>
      <c r="J20" t="s">
        <v>73</v>
      </c>
      <c r="K20" t="s">
        <v>73</v>
      </c>
      <c r="L20" t="s">
        <v>400</v>
      </c>
      <c r="M20" t="s">
        <v>401</v>
      </c>
      <c r="N20" t="s">
        <v>402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</row>
    <row r="21" spans="1:24" ht="15.5" x14ac:dyDescent="0.35">
      <c r="A21" s="1" t="s">
        <v>403</v>
      </c>
      <c r="B21" s="1" t="s">
        <v>372</v>
      </c>
      <c r="C21" s="1" t="s">
        <v>404</v>
      </c>
      <c r="D21" s="1" t="s">
        <v>405</v>
      </c>
      <c r="E21" s="1" t="s">
        <v>406</v>
      </c>
      <c r="F21" s="1" t="s">
        <v>376</v>
      </c>
      <c r="G21" s="1" t="s">
        <v>377</v>
      </c>
      <c r="H21" s="1" t="s">
        <v>407</v>
      </c>
      <c r="I21" s="1" t="s">
        <v>379</v>
      </c>
      <c r="J21" s="1" t="s">
        <v>380</v>
      </c>
      <c r="K21" s="1" t="s">
        <v>381</v>
      </c>
      <c r="L21" s="1" t="s">
        <v>408</v>
      </c>
      <c r="M21" s="1" t="s">
        <v>409</v>
      </c>
      <c r="N21" s="1" t="s">
        <v>410</v>
      </c>
      <c r="O21" s="1" t="s">
        <v>385</v>
      </c>
      <c r="P21" s="1" t="s">
        <v>386</v>
      </c>
      <c r="Q21" s="1" t="s">
        <v>387</v>
      </c>
      <c r="R21" s="1" t="s">
        <v>388</v>
      </c>
      <c r="S21" s="1" t="s">
        <v>389</v>
      </c>
      <c r="T21" s="1" t="s">
        <v>390</v>
      </c>
      <c r="U21" s="1" t="s">
        <v>391</v>
      </c>
      <c r="V21" s="1" t="s">
        <v>392</v>
      </c>
      <c r="W21" s="1" t="s">
        <v>393</v>
      </c>
      <c r="X21" s="1" t="s">
        <v>394</v>
      </c>
    </row>
    <row r="22" spans="1:24" ht="15.5" x14ac:dyDescent="0.35">
      <c r="A22" s="1" t="s">
        <v>411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</row>
    <row r="23" spans="1:24" ht="15.5" x14ac:dyDescent="0.35">
      <c r="A23" s="1" t="s">
        <v>412</v>
      </c>
      <c r="B23" t="s">
        <v>413</v>
      </c>
      <c r="C23" t="s">
        <v>414</v>
      </c>
      <c r="D23" t="s">
        <v>415</v>
      </c>
      <c r="E23" t="s">
        <v>416</v>
      </c>
      <c r="F23" t="s">
        <v>417</v>
      </c>
      <c r="G23" t="s">
        <v>418</v>
      </c>
      <c r="H23" t="s">
        <v>419</v>
      </c>
      <c r="I23" t="s">
        <v>420</v>
      </c>
      <c r="J23" t="s">
        <v>421</v>
      </c>
      <c r="K23" t="s">
        <v>422</v>
      </c>
      <c r="L23" t="s">
        <v>423</v>
      </c>
      <c r="M23" t="s">
        <v>424</v>
      </c>
      <c r="N23" t="s">
        <v>425</v>
      </c>
      <c r="O23" t="s">
        <v>426</v>
      </c>
      <c r="P23" t="s">
        <v>427</v>
      </c>
      <c r="Q23" t="s">
        <v>428</v>
      </c>
      <c r="R23" t="s">
        <v>429</v>
      </c>
      <c r="S23" t="s">
        <v>430</v>
      </c>
      <c r="T23" t="s">
        <v>431</v>
      </c>
      <c r="U23" t="s">
        <v>432</v>
      </c>
      <c r="V23" t="s">
        <v>433</v>
      </c>
      <c r="W23" t="s">
        <v>434</v>
      </c>
      <c r="X23" t="s">
        <v>435</v>
      </c>
    </row>
    <row r="24" spans="1:24" ht="15.5" x14ac:dyDescent="0.35">
      <c r="A24" s="1" t="s">
        <v>436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437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</row>
    <row r="25" spans="1:24" ht="15.5" x14ac:dyDescent="0.35">
      <c r="A25" s="1" t="s">
        <v>438</v>
      </c>
      <c r="B25" t="s">
        <v>439</v>
      </c>
      <c r="C25" t="s">
        <v>440</v>
      </c>
      <c r="D25" t="s">
        <v>441</v>
      </c>
      <c r="E25" t="s">
        <v>442</v>
      </c>
      <c r="F25" t="s">
        <v>443</v>
      </c>
      <c r="G25" t="s">
        <v>444</v>
      </c>
      <c r="H25" t="s">
        <v>445</v>
      </c>
      <c r="I25" t="s">
        <v>446</v>
      </c>
      <c r="J25" t="s">
        <v>447</v>
      </c>
      <c r="K25" t="s">
        <v>448</v>
      </c>
      <c r="L25" t="s">
        <v>449</v>
      </c>
      <c r="M25" t="s">
        <v>239</v>
      </c>
      <c r="N25" t="s">
        <v>450</v>
      </c>
      <c r="O25" t="s">
        <v>451</v>
      </c>
      <c r="P25" t="s">
        <v>452</v>
      </c>
      <c r="Q25" t="s">
        <v>453</v>
      </c>
      <c r="R25" t="s">
        <v>454</v>
      </c>
      <c r="S25" t="s">
        <v>455</v>
      </c>
      <c r="T25" t="s">
        <v>456</v>
      </c>
      <c r="U25" t="s">
        <v>457</v>
      </c>
      <c r="V25" t="s">
        <v>458</v>
      </c>
      <c r="W25" t="s">
        <v>459</v>
      </c>
      <c r="X25" t="s">
        <v>460</v>
      </c>
    </row>
    <row r="26" spans="1:24" ht="15.5" x14ac:dyDescent="0.35">
      <c r="A26" s="1" t="s">
        <v>461</v>
      </c>
      <c r="B26" t="s">
        <v>73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462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</row>
    <row r="27" spans="1:24" ht="15.5" x14ac:dyDescent="0.35">
      <c r="A27" s="1" t="s">
        <v>463</v>
      </c>
      <c r="B27" t="s">
        <v>464</v>
      </c>
      <c r="C27" t="s">
        <v>465</v>
      </c>
      <c r="D27" t="s">
        <v>466</v>
      </c>
      <c r="E27" t="s">
        <v>467</v>
      </c>
      <c r="F27" t="s">
        <v>468</v>
      </c>
      <c r="G27" t="s">
        <v>469</v>
      </c>
      <c r="H27" t="s">
        <v>470</v>
      </c>
      <c r="I27" t="s">
        <v>471</v>
      </c>
      <c r="J27" t="s">
        <v>472</v>
      </c>
      <c r="K27" t="s">
        <v>473</v>
      </c>
      <c r="L27" t="s">
        <v>474</v>
      </c>
      <c r="M27" t="s">
        <v>475</v>
      </c>
      <c r="N27" t="s">
        <v>476</v>
      </c>
      <c r="O27" t="s">
        <v>477</v>
      </c>
      <c r="P27" t="s">
        <v>478</v>
      </c>
      <c r="Q27" t="s">
        <v>479</v>
      </c>
      <c r="R27" t="s">
        <v>480</v>
      </c>
      <c r="S27" t="s">
        <v>481</v>
      </c>
      <c r="T27" t="s">
        <v>482</v>
      </c>
      <c r="U27" t="s">
        <v>483</v>
      </c>
      <c r="V27" t="s">
        <v>484</v>
      </c>
      <c r="W27" t="s">
        <v>485</v>
      </c>
      <c r="X27" t="s">
        <v>486</v>
      </c>
    </row>
    <row r="28" spans="1:24" ht="15.5" x14ac:dyDescent="0.35">
      <c r="A28" s="1" t="s">
        <v>487</v>
      </c>
      <c r="B28" s="1" t="s">
        <v>488</v>
      </c>
      <c r="C28" s="1" t="s">
        <v>489</v>
      </c>
      <c r="D28" s="1" t="s">
        <v>490</v>
      </c>
      <c r="E28" s="1" t="s">
        <v>491</v>
      </c>
      <c r="F28" s="1" t="s">
        <v>492</v>
      </c>
      <c r="G28" s="1" t="s">
        <v>493</v>
      </c>
      <c r="H28" s="1" t="s">
        <v>494</v>
      </c>
      <c r="I28" s="1" t="s">
        <v>495</v>
      </c>
      <c r="J28" s="1" t="s">
        <v>496</v>
      </c>
      <c r="K28" s="1" t="s">
        <v>497</v>
      </c>
      <c r="L28" s="1" t="s">
        <v>498</v>
      </c>
      <c r="M28" s="1" t="s">
        <v>499</v>
      </c>
      <c r="N28" s="1" t="s">
        <v>500</v>
      </c>
      <c r="O28" s="1" t="s">
        <v>501</v>
      </c>
      <c r="P28" s="1" t="s">
        <v>502</v>
      </c>
      <c r="Q28" s="1" t="s">
        <v>503</v>
      </c>
      <c r="R28" s="1" t="s">
        <v>504</v>
      </c>
      <c r="S28" s="1" t="s">
        <v>505</v>
      </c>
      <c r="T28" s="1" t="s">
        <v>506</v>
      </c>
      <c r="U28" s="1" t="s">
        <v>507</v>
      </c>
      <c r="V28" s="1" t="s">
        <v>508</v>
      </c>
      <c r="W28" s="1" t="s">
        <v>509</v>
      </c>
      <c r="X28" s="1" t="s">
        <v>510</v>
      </c>
    </row>
    <row r="29" spans="1:24" ht="15.5" x14ac:dyDescent="0.35">
      <c r="A29" s="1" t="s">
        <v>511</v>
      </c>
      <c r="B29" t="s">
        <v>488</v>
      </c>
      <c r="C29" t="s">
        <v>489</v>
      </c>
      <c r="D29" t="s">
        <v>490</v>
      </c>
      <c r="E29" t="s">
        <v>491</v>
      </c>
      <c r="F29" t="s">
        <v>492</v>
      </c>
      <c r="G29" t="s">
        <v>493</v>
      </c>
      <c r="H29" t="s">
        <v>494</v>
      </c>
      <c r="I29" t="s">
        <v>495</v>
      </c>
      <c r="J29" t="s">
        <v>496</v>
      </c>
      <c r="K29" t="s">
        <v>497</v>
      </c>
      <c r="L29" t="s">
        <v>498</v>
      </c>
      <c r="M29" t="s">
        <v>499</v>
      </c>
      <c r="N29" t="s">
        <v>500</v>
      </c>
      <c r="O29" t="s">
        <v>501</v>
      </c>
      <c r="P29" t="s">
        <v>502</v>
      </c>
      <c r="Q29" t="s">
        <v>503</v>
      </c>
      <c r="R29" t="s">
        <v>512</v>
      </c>
      <c r="S29" t="s">
        <v>513</v>
      </c>
      <c r="T29" t="s">
        <v>514</v>
      </c>
      <c r="U29" t="s">
        <v>515</v>
      </c>
      <c r="V29" t="s">
        <v>516</v>
      </c>
      <c r="W29" t="s">
        <v>517</v>
      </c>
      <c r="X29" t="s">
        <v>518</v>
      </c>
    </row>
    <row r="30" spans="1:24" ht="15.5" x14ac:dyDescent="0.35">
      <c r="A30" s="1" t="s">
        <v>519</v>
      </c>
      <c r="B30" t="s">
        <v>488</v>
      </c>
      <c r="C30" t="s">
        <v>489</v>
      </c>
      <c r="D30" t="s">
        <v>490</v>
      </c>
      <c r="E30" t="s">
        <v>491</v>
      </c>
      <c r="F30" t="s">
        <v>492</v>
      </c>
      <c r="G30" t="s">
        <v>493</v>
      </c>
      <c r="H30" t="s">
        <v>494</v>
      </c>
      <c r="I30" t="s">
        <v>495</v>
      </c>
      <c r="J30" t="s">
        <v>496</v>
      </c>
      <c r="K30" t="s">
        <v>497</v>
      </c>
      <c r="L30" t="s">
        <v>498</v>
      </c>
      <c r="M30" t="s">
        <v>499</v>
      </c>
      <c r="N30" t="s">
        <v>500</v>
      </c>
      <c r="O30" t="s">
        <v>501</v>
      </c>
      <c r="P30" t="s">
        <v>502</v>
      </c>
      <c r="Q30" t="s">
        <v>503</v>
      </c>
      <c r="R30" t="s">
        <v>512</v>
      </c>
      <c r="S30" t="s">
        <v>513</v>
      </c>
      <c r="T30" t="s">
        <v>514</v>
      </c>
      <c r="U30" t="s">
        <v>515</v>
      </c>
      <c r="V30" t="s">
        <v>516</v>
      </c>
      <c r="W30" t="s">
        <v>517</v>
      </c>
      <c r="X30" t="s">
        <v>518</v>
      </c>
    </row>
    <row r="31" spans="1:24" ht="15.5" x14ac:dyDescent="0.35">
      <c r="A31" s="1" t="s">
        <v>520</v>
      </c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</row>
    <row r="32" spans="1:24" ht="15.5" x14ac:dyDescent="0.35">
      <c r="A32" s="1" t="s">
        <v>521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</row>
    <row r="33" spans="1:24" ht="15.5" x14ac:dyDescent="0.35">
      <c r="A33" s="1" t="s">
        <v>522</v>
      </c>
      <c r="B33" t="s">
        <v>523</v>
      </c>
      <c r="C33" t="s">
        <v>524</v>
      </c>
      <c r="D33" t="s">
        <v>525</v>
      </c>
      <c r="E33" t="s">
        <v>526</v>
      </c>
      <c r="F33" t="s">
        <v>527</v>
      </c>
      <c r="G33" t="s">
        <v>528</v>
      </c>
      <c r="H33" t="s">
        <v>529</v>
      </c>
      <c r="I33" t="s">
        <v>530</v>
      </c>
      <c r="J33" t="s">
        <v>531</v>
      </c>
      <c r="K33" t="s">
        <v>532</v>
      </c>
      <c r="L33" t="s">
        <v>533</v>
      </c>
      <c r="M33" t="s">
        <v>534</v>
      </c>
      <c r="N33" t="s">
        <v>535</v>
      </c>
      <c r="O33" t="s">
        <v>536</v>
      </c>
      <c r="P33" t="s">
        <v>537</v>
      </c>
      <c r="Q33" t="s">
        <v>538</v>
      </c>
      <c r="R33" t="s">
        <v>539</v>
      </c>
      <c r="S33" t="s">
        <v>540</v>
      </c>
      <c r="T33" t="s">
        <v>541</v>
      </c>
      <c r="U33" t="s">
        <v>542</v>
      </c>
      <c r="V33" t="s">
        <v>543</v>
      </c>
      <c r="W33" t="s">
        <v>544</v>
      </c>
      <c r="X33" t="s">
        <v>545</v>
      </c>
    </row>
    <row r="34" spans="1:24" ht="15.5" x14ac:dyDescent="0.35">
      <c r="A34" s="1" t="s">
        <v>546</v>
      </c>
      <c r="B34" t="s">
        <v>523</v>
      </c>
      <c r="C34" t="s">
        <v>524</v>
      </c>
      <c r="D34" t="s">
        <v>525</v>
      </c>
      <c r="E34" t="s">
        <v>526</v>
      </c>
      <c r="F34" t="s">
        <v>527</v>
      </c>
      <c r="G34" t="s">
        <v>547</v>
      </c>
      <c r="H34" t="s">
        <v>548</v>
      </c>
      <c r="I34" t="s">
        <v>549</v>
      </c>
      <c r="J34" t="s">
        <v>550</v>
      </c>
      <c r="K34" t="s">
        <v>551</v>
      </c>
      <c r="L34" t="s">
        <v>552</v>
      </c>
      <c r="M34" t="s">
        <v>553</v>
      </c>
      <c r="N34" t="s">
        <v>535</v>
      </c>
      <c r="O34" t="s">
        <v>554</v>
      </c>
      <c r="P34" t="s">
        <v>555</v>
      </c>
      <c r="Q34" t="s">
        <v>538</v>
      </c>
      <c r="R34" t="s">
        <v>539</v>
      </c>
      <c r="S34" t="s">
        <v>540</v>
      </c>
      <c r="T34" t="s">
        <v>541</v>
      </c>
      <c r="U34" t="s">
        <v>542</v>
      </c>
      <c r="V34" t="s">
        <v>543</v>
      </c>
      <c r="W34" t="s">
        <v>544</v>
      </c>
      <c r="X34" t="s">
        <v>545</v>
      </c>
    </row>
    <row r="35" spans="1:24" ht="15.5" x14ac:dyDescent="0.35">
      <c r="A35" s="1" t="s">
        <v>556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</row>
    <row r="36" spans="1:24" ht="15.5" x14ac:dyDescent="0.35">
      <c r="A36" s="1" t="s">
        <v>557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558</v>
      </c>
      <c r="M36" t="s">
        <v>559</v>
      </c>
      <c r="N36" t="s">
        <v>560</v>
      </c>
      <c r="O36" t="s">
        <v>561</v>
      </c>
      <c r="P36" t="s">
        <v>562</v>
      </c>
      <c r="Q36" t="s">
        <v>563</v>
      </c>
      <c r="R36" t="s">
        <v>564</v>
      </c>
      <c r="S36" t="s">
        <v>565</v>
      </c>
      <c r="T36" t="s">
        <v>566</v>
      </c>
      <c r="U36" t="s">
        <v>567</v>
      </c>
      <c r="V36" t="s">
        <v>568</v>
      </c>
      <c r="W36" t="s">
        <v>569</v>
      </c>
      <c r="X36" t="s">
        <v>570</v>
      </c>
    </row>
    <row r="37" spans="1:24" ht="15.5" x14ac:dyDescent="0.35">
      <c r="A37" s="1" t="s">
        <v>571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572</v>
      </c>
      <c r="M37" t="s">
        <v>573</v>
      </c>
      <c r="N37" t="s">
        <v>574</v>
      </c>
      <c r="O37" t="s">
        <v>575</v>
      </c>
      <c r="P37" t="s">
        <v>576</v>
      </c>
      <c r="Q37" t="s">
        <v>577</v>
      </c>
      <c r="R37" t="s">
        <v>578</v>
      </c>
      <c r="S37" t="s">
        <v>579</v>
      </c>
      <c r="T37" t="s">
        <v>580</v>
      </c>
      <c r="U37" t="s">
        <v>581</v>
      </c>
      <c r="V37" t="s">
        <v>582</v>
      </c>
      <c r="W37" t="s">
        <v>583</v>
      </c>
      <c r="X37" t="s">
        <v>584</v>
      </c>
    </row>
    <row r="38" spans="1:24" ht="15.5" x14ac:dyDescent="0.35">
      <c r="A38" s="1" t="s">
        <v>585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</row>
    <row r="39" spans="1:24" ht="15.5" x14ac:dyDescent="0.35">
      <c r="A39" s="1" t="s">
        <v>586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587</v>
      </c>
      <c r="Q39" t="s">
        <v>588</v>
      </c>
      <c r="R39" t="s">
        <v>589</v>
      </c>
      <c r="S39" t="s">
        <v>590</v>
      </c>
      <c r="T39" t="s">
        <v>588</v>
      </c>
      <c r="U39" t="s">
        <v>591</v>
      </c>
      <c r="V39" t="s">
        <v>592</v>
      </c>
      <c r="W39" t="s">
        <v>593</v>
      </c>
      <c r="X39" t="s">
        <v>594</v>
      </c>
    </row>
    <row r="40" spans="1:24" ht="15.5" x14ac:dyDescent="0.35">
      <c r="A40" s="1" t="s">
        <v>595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596</v>
      </c>
      <c r="M40" t="s">
        <v>597</v>
      </c>
      <c r="N40" t="s">
        <v>598</v>
      </c>
      <c r="O40" t="s">
        <v>599</v>
      </c>
      <c r="P40" t="s">
        <v>600</v>
      </c>
      <c r="Q40" t="s">
        <v>601</v>
      </c>
      <c r="R40" t="s">
        <v>602</v>
      </c>
      <c r="S40" t="s">
        <v>603</v>
      </c>
      <c r="T40" t="s">
        <v>604</v>
      </c>
      <c r="U40" t="s">
        <v>605</v>
      </c>
      <c r="V40" t="s">
        <v>606</v>
      </c>
      <c r="W40" t="s">
        <v>607</v>
      </c>
      <c r="X40" t="s">
        <v>608</v>
      </c>
    </row>
    <row r="41" spans="1:24" ht="15.5" x14ac:dyDescent="0.35">
      <c r="A41" s="1" t="s">
        <v>609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</row>
    <row r="42" spans="1:24" ht="15.5" x14ac:dyDescent="0.35">
      <c r="A42" s="1" t="s">
        <v>610</v>
      </c>
      <c r="B42" t="s">
        <v>611</v>
      </c>
      <c r="C42" t="s">
        <v>612</v>
      </c>
      <c r="D42" t="s">
        <v>613</v>
      </c>
      <c r="E42" t="s">
        <v>614</v>
      </c>
      <c r="F42" t="s">
        <v>615</v>
      </c>
      <c r="G42" t="s">
        <v>616</v>
      </c>
      <c r="H42" t="s">
        <v>617</v>
      </c>
      <c r="I42" t="s">
        <v>618</v>
      </c>
      <c r="J42" t="s">
        <v>619</v>
      </c>
      <c r="K42" t="s">
        <v>620</v>
      </c>
      <c r="L42" t="s">
        <v>620</v>
      </c>
      <c r="M42" t="s">
        <v>621</v>
      </c>
      <c r="N42" t="s">
        <v>622</v>
      </c>
      <c r="O42" t="s">
        <v>623</v>
      </c>
      <c r="P42" t="s">
        <v>624</v>
      </c>
      <c r="Q42" t="s">
        <v>625</v>
      </c>
      <c r="R42" t="s">
        <v>626</v>
      </c>
      <c r="S42" t="s">
        <v>627</v>
      </c>
      <c r="T42" t="s">
        <v>628</v>
      </c>
      <c r="U42" t="s">
        <v>629</v>
      </c>
      <c r="V42" t="s">
        <v>629</v>
      </c>
      <c r="W42" t="s">
        <v>630</v>
      </c>
      <c r="X42" t="s">
        <v>631</v>
      </c>
    </row>
    <row r="43" spans="1:24" ht="15.5" x14ac:dyDescent="0.35">
      <c r="A43" s="1" t="s">
        <v>632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633</v>
      </c>
      <c r="J43" t="s">
        <v>634</v>
      </c>
      <c r="K43" t="s">
        <v>635</v>
      </c>
      <c r="L43" t="s">
        <v>635</v>
      </c>
      <c r="M43" t="s">
        <v>636</v>
      </c>
      <c r="N43" t="s">
        <v>637</v>
      </c>
      <c r="O43" t="s">
        <v>638</v>
      </c>
      <c r="P43" t="s">
        <v>639</v>
      </c>
      <c r="Q43" t="s">
        <v>640</v>
      </c>
      <c r="R43" t="s">
        <v>641</v>
      </c>
      <c r="S43" t="s">
        <v>642</v>
      </c>
      <c r="T43" t="s">
        <v>643</v>
      </c>
      <c r="U43" t="s">
        <v>644</v>
      </c>
      <c r="V43" t="s">
        <v>645</v>
      </c>
      <c r="W43" t="s">
        <v>646</v>
      </c>
      <c r="X43" t="s">
        <v>647</v>
      </c>
    </row>
    <row r="44" spans="1:24" ht="15.5" x14ac:dyDescent="0.35">
      <c r="A44" s="1" t="s">
        <v>648</v>
      </c>
      <c r="B44" t="s">
        <v>649</v>
      </c>
      <c r="C44" t="s">
        <v>650</v>
      </c>
      <c r="D44" t="s">
        <v>651</v>
      </c>
      <c r="E44" t="s">
        <v>652</v>
      </c>
      <c r="F44" t="s">
        <v>653</v>
      </c>
      <c r="G44" t="s">
        <v>654</v>
      </c>
      <c r="H44" t="s">
        <v>655</v>
      </c>
      <c r="I44" t="s">
        <v>656</v>
      </c>
      <c r="J44" t="s">
        <v>657</v>
      </c>
      <c r="K44" t="s">
        <v>658</v>
      </c>
      <c r="L44" t="s">
        <v>659</v>
      </c>
      <c r="M44" t="s">
        <v>660</v>
      </c>
      <c r="N44" t="s">
        <v>661</v>
      </c>
      <c r="O44" t="s">
        <v>662</v>
      </c>
      <c r="P44" t="s">
        <v>662</v>
      </c>
      <c r="Q44" t="s">
        <v>663</v>
      </c>
      <c r="R44" t="s">
        <v>664</v>
      </c>
      <c r="S44" t="s">
        <v>665</v>
      </c>
      <c r="T44" t="s">
        <v>666</v>
      </c>
      <c r="U44" t="s">
        <v>667</v>
      </c>
      <c r="V44" t="s">
        <v>667</v>
      </c>
      <c r="W44" t="s">
        <v>668</v>
      </c>
      <c r="X44" t="s">
        <v>669</v>
      </c>
    </row>
  </sheetData>
  <pageMargins left="0.7" right="0.7" top="0.75" bottom="0.75" header="0.3" footer="0.3"/>
  <ignoredErrors>
    <ignoredError sqref="A1:X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ECDC-6765-46EC-B58A-CEBAB4108AD2}">
  <dimension ref="A1:X65"/>
  <sheetViews>
    <sheetView workbookViewId="0">
      <selection activeCell="A41" sqref="A41:XFD41"/>
    </sheetView>
  </sheetViews>
  <sheetFormatPr defaultRowHeight="14.5" x14ac:dyDescent="0.35"/>
  <cols>
    <col min="1" max="1" width="47.90625" bestFit="1" customWidth="1"/>
  </cols>
  <sheetData>
    <row r="1" spans="1:24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</row>
    <row r="2" spans="1:24" x14ac:dyDescent="0.35">
      <c r="A2" t="s">
        <v>670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</row>
    <row r="3" spans="1:24" x14ac:dyDescent="0.35">
      <c r="A3" t="s">
        <v>671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</row>
    <row r="4" spans="1:24" x14ac:dyDescent="0.35">
      <c r="A4" t="s">
        <v>672</v>
      </c>
      <c r="B4" t="s">
        <v>673</v>
      </c>
      <c r="C4" t="s">
        <v>673</v>
      </c>
      <c r="D4" t="s">
        <v>673</v>
      </c>
      <c r="E4" t="s">
        <v>673</v>
      </c>
      <c r="F4" t="s">
        <v>673</v>
      </c>
      <c r="G4" t="s">
        <v>673</v>
      </c>
      <c r="H4" t="s">
        <v>674</v>
      </c>
      <c r="I4" t="s">
        <v>675</v>
      </c>
      <c r="J4" t="s">
        <v>676</v>
      </c>
      <c r="K4" t="s">
        <v>677</v>
      </c>
      <c r="L4" t="s">
        <v>677</v>
      </c>
      <c r="M4" t="s">
        <v>678</v>
      </c>
      <c r="N4" t="s">
        <v>678</v>
      </c>
      <c r="O4" t="s">
        <v>679</v>
      </c>
      <c r="P4" t="s">
        <v>680</v>
      </c>
      <c r="Q4" t="s">
        <v>680</v>
      </c>
      <c r="R4" t="s">
        <v>680</v>
      </c>
      <c r="S4" t="s">
        <v>680</v>
      </c>
      <c r="T4" t="s">
        <v>680</v>
      </c>
      <c r="U4" t="s">
        <v>680</v>
      </c>
      <c r="V4" t="s">
        <v>680</v>
      </c>
      <c r="W4" t="s">
        <v>680</v>
      </c>
      <c r="X4" t="s">
        <v>681</v>
      </c>
    </row>
    <row r="5" spans="1:24" x14ac:dyDescent="0.35">
      <c r="A5" t="s">
        <v>682</v>
      </c>
      <c r="B5" t="s">
        <v>673</v>
      </c>
      <c r="C5" t="s">
        <v>673</v>
      </c>
      <c r="D5" t="s">
        <v>673</v>
      </c>
      <c r="E5" t="s">
        <v>673</v>
      </c>
      <c r="F5" t="s">
        <v>673</v>
      </c>
      <c r="G5" t="s">
        <v>673</v>
      </c>
      <c r="H5" t="s">
        <v>674</v>
      </c>
      <c r="I5" t="s">
        <v>675</v>
      </c>
      <c r="J5" t="s">
        <v>676</v>
      </c>
      <c r="K5" t="s">
        <v>677</v>
      </c>
      <c r="L5" t="s">
        <v>677</v>
      </c>
      <c r="M5" t="s">
        <v>678</v>
      </c>
      <c r="N5" t="s">
        <v>678</v>
      </c>
      <c r="O5" t="s">
        <v>679</v>
      </c>
      <c r="P5" t="s">
        <v>680</v>
      </c>
      <c r="Q5" t="s">
        <v>680</v>
      </c>
      <c r="R5" t="s">
        <v>680</v>
      </c>
      <c r="S5" t="s">
        <v>680</v>
      </c>
      <c r="T5" t="s">
        <v>680</v>
      </c>
      <c r="U5" t="s">
        <v>680</v>
      </c>
      <c r="V5" t="s">
        <v>680</v>
      </c>
      <c r="W5" t="s">
        <v>680</v>
      </c>
      <c r="X5" t="s">
        <v>681</v>
      </c>
    </row>
    <row r="6" spans="1:24" x14ac:dyDescent="0.35">
      <c r="A6" t="s">
        <v>683</v>
      </c>
      <c r="B6" t="s">
        <v>684</v>
      </c>
      <c r="C6" t="s">
        <v>685</v>
      </c>
      <c r="D6" t="s">
        <v>686</v>
      </c>
      <c r="E6" t="s">
        <v>687</v>
      </c>
      <c r="F6" t="s">
        <v>688</v>
      </c>
      <c r="G6" t="s">
        <v>689</v>
      </c>
      <c r="H6" t="s">
        <v>690</v>
      </c>
      <c r="I6" t="s">
        <v>691</v>
      </c>
      <c r="J6" t="s">
        <v>692</v>
      </c>
      <c r="K6" t="s">
        <v>693</v>
      </c>
      <c r="L6" t="s">
        <v>694</v>
      </c>
      <c r="M6" t="s">
        <v>695</v>
      </c>
      <c r="N6" t="s">
        <v>696</v>
      </c>
      <c r="O6" t="s">
        <v>697</v>
      </c>
      <c r="P6" t="s">
        <v>698</v>
      </c>
      <c r="Q6" t="s">
        <v>699</v>
      </c>
      <c r="R6" t="s">
        <v>700</v>
      </c>
      <c r="S6" t="s">
        <v>701</v>
      </c>
      <c r="T6" t="s">
        <v>702</v>
      </c>
      <c r="U6" t="s">
        <v>703</v>
      </c>
      <c r="V6" t="s">
        <v>704</v>
      </c>
      <c r="W6" t="s">
        <v>705</v>
      </c>
      <c r="X6" t="s">
        <v>706</v>
      </c>
    </row>
    <row r="7" spans="1:24" x14ac:dyDescent="0.35">
      <c r="A7" t="s">
        <v>707</v>
      </c>
      <c r="B7" t="s">
        <v>684</v>
      </c>
      <c r="C7" t="s">
        <v>685</v>
      </c>
      <c r="D7" t="s">
        <v>686</v>
      </c>
      <c r="E7" t="s">
        <v>687</v>
      </c>
      <c r="F7" t="s">
        <v>688</v>
      </c>
      <c r="G7" t="s">
        <v>689</v>
      </c>
      <c r="H7" t="s">
        <v>690</v>
      </c>
      <c r="I7" t="s">
        <v>691</v>
      </c>
      <c r="J7" t="s">
        <v>692</v>
      </c>
      <c r="K7" t="s">
        <v>693</v>
      </c>
      <c r="L7" t="s">
        <v>694</v>
      </c>
      <c r="M7" t="s">
        <v>695</v>
      </c>
      <c r="N7" t="s">
        <v>696</v>
      </c>
      <c r="O7" t="s">
        <v>697</v>
      </c>
      <c r="P7" t="s">
        <v>698</v>
      </c>
      <c r="Q7" t="s">
        <v>699</v>
      </c>
      <c r="R7" t="s">
        <v>700</v>
      </c>
      <c r="S7" t="s">
        <v>701</v>
      </c>
      <c r="T7" t="s">
        <v>702</v>
      </c>
      <c r="U7" t="s">
        <v>703</v>
      </c>
      <c r="V7" t="s">
        <v>704</v>
      </c>
      <c r="W7" t="s">
        <v>705</v>
      </c>
      <c r="X7" t="s">
        <v>706</v>
      </c>
    </row>
    <row r="8" spans="1:24" x14ac:dyDescent="0.35">
      <c r="A8" t="s">
        <v>708</v>
      </c>
      <c r="B8" t="s">
        <v>709</v>
      </c>
      <c r="C8" t="s">
        <v>710</v>
      </c>
      <c r="D8" t="s">
        <v>711</v>
      </c>
      <c r="E8" t="s">
        <v>712</v>
      </c>
      <c r="F8" t="s">
        <v>713</v>
      </c>
      <c r="G8" t="s">
        <v>714</v>
      </c>
      <c r="H8" t="s">
        <v>715</v>
      </c>
      <c r="I8" t="s">
        <v>716</v>
      </c>
      <c r="J8" t="s">
        <v>717</v>
      </c>
      <c r="K8" t="s">
        <v>718</v>
      </c>
      <c r="L8" t="s">
        <v>719</v>
      </c>
      <c r="M8" t="s">
        <v>720</v>
      </c>
      <c r="N8" t="s">
        <v>721</v>
      </c>
      <c r="O8" t="s">
        <v>722</v>
      </c>
      <c r="P8" t="s">
        <v>723</v>
      </c>
      <c r="Q8" t="s">
        <v>724</v>
      </c>
      <c r="R8" t="s">
        <v>725</v>
      </c>
      <c r="S8" t="s">
        <v>726</v>
      </c>
      <c r="T8" t="s">
        <v>727</v>
      </c>
      <c r="U8" t="s">
        <v>728</v>
      </c>
      <c r="V8" t="s">
        <v>729</v>
      </c>
      <c r="W8" t="s">
        <v>730</v>
      </c>
      <c r="X8" t="s">
        <v>731</v>
      </c>
    </row>
    <row r="9" spans="1:24" x14ac:dyDescent="0.35">
      <c r="A9" t="s">
        <v>732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</row>
    <row r="10" spans="1:24" x14ac:dyDescent="0.35">
      <c r="A10" t="s">
        <v>733</v>
      </c>
      <c r="B10" t="s">
        <v>734</v>
      </c>
      <c r="C10" t="s">
        <v>735</v>
      </c>
      <c r="D10" t="s">
        <v>736</v>
      </c>
      <c r="E10" t="s">
        <v>737</v>
      </c>
      <c r="F10" t="s">
        <v>738</v>
      </c>
      <c r="G10" t="s">
        <v>739</v>
      </c>
      <c r="H10" t="s">
        <v>740</v>
      </c>
      <c r="I10" t="s">
        <v>741</v>
      </c>
      <c r="J10" t="s">
        <v>742</v>
      </c>
      <c r="K10" t="s">
        <v>743</v>
      </c>
      <c r="L10" t="s">
        <v>744</v>
      </c>
      <c r="M10" t="s">
        <v>745</v>
      </c>
      <c r="N10" t="s">
        <v>746</v>
      </c>
      <c r="O10" t="s">
        <v>747</v>
      </c>
      <c r="P10" t="s">
        <v>748</v>
      </c>
      <c r="Q10" t="s">
        <v>749</v>
      </c>
      <c r="R10" t="s">
        <v>750</v>
      </c>
      <c r="S10" t="s">
        <v>751</v>
      </c>
      <c r="T10" t="s">
        <v>752</v>
      </c>
      <c r="U10" t="s">
        <v>753</v>
      </c>
      <c r="V10" t="s">
        <v>754</v>
      </c>
      <c r="W10" t="s">
        <v>73</v>
      </c>
      <c r="X10" t="s">
        <v>73</v>
      </c>
    </row>
    <row r="11" spans="1:24" x14ac:dyDescent="0.35">
      <c r="A11" t="s">
        <v>755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756</v>
      </c>
      <c r="H11" t="s">
        <v>757</v>
      </c>
      <c r="I11" t="s">
        <v>758</v>
      </c>
      <c r="J11" t="s">
        <v>73</v>
      </c>
      <c r="K11" t="s">
        <v>73</v>
      </c>
      <c r="L11" t="s">
        <v>73</v>
      </c>
      <c r="M11" t="s">
        <v>73</v>
      </c>
      <c r="N11" t="s">
        <v>759</v>
      </c>
      <c r="O11" t="s">
        <v>760</v>
      </c>
      <c r="P11" t="s">
        <v>761</v>
      </c>
      <c r="Q11" t="s">
        <v>762</v>
      </c>
      <c r="R11" t="s">
        <v>763</v>
      </c>
      <c r="S11" t="s">
        <v>764</v>
      </c>
      <c r="T11" t="s">
        <v>765</v>
      </c>
      <c r="U11" t="s">
        <v>73</v>
      </c>
      <c r="V11" t="s">
        <v>766</v>
      </c>
      <c r="W11" t="s">
        <v>767</v>
      </c>
      <c r="X11" t="s">
        <v>768</v>
      </c>
    </row>
    <row r="12" spans="1:24" x14ac:dyDescent="0.35">
      <c r="A12" t="s">
        <v>769</v>
      </c>
      <c r="B12" t="s">
        <v>770</v>
      </c>
      <c r="C12" t="s">
        <v>771</v>
      </c>
      <c r="D12" t="s">
        <v>772</v>
      </c>
      <c r="E12" t="s">
        <v>773</v>
      </c>
      <c r="F12" t="s">
        <v>774</v>
      </c>
      <c r="G12" t="s">
        <v>775</v>
      </c>
      <c r="H12" t="s">
        <v>776</v>
      </c>
      <c r="I12" t="s">
        <v>777</v>
      </c>
      <c r="J12" t="s">
        <v>778</v>
      </c>
      <c r="K12" t="s">
        <v>779</v>
      </c>
      <c r="L12" t="s">
        <v>780</v>
      </c>
      <c r="M12" t="s">
        <v>781</v>
      </c>
      <c r="N12" t="s">
        <v>782</v>
      </c>
      <c r="O12" t="s">
        <v>783</v>
      </c>
      <c r="P12" t="s">
        <v>784</v>
      </c>
      <c r="Q12" t="s">
        <v>785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</row>
    <row r="13" spans="1:24" x14ac:dyDescent="0.35">
      <c r="A13" t="s">
        <v>786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787</v>
      </c>
      <c r="P13" t="s">
        <v>788</v>
      </c>
      <c r="Q13" t="s">
        <v>789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</row>
    <row r="14" spans="1:24" x14ac:dyDescent="0.35">
      <c r="A14" t="s">
        <v>790</v>
      </c>
      <c r="B14" t="s">
        <v>791</v>
      </c>
      <c r="C14" t="s">
        <v>792</v>
      </c>
      <c r="D14" t="s">
        <v>793</v>
      </c>
      <c r="E14" t="s">
        <v>794</v>
      </c>
      <c r="F14" t="s">
        <v>795</v>
      </c>
      <c r="G14" t="s">
        <v>796</v>
      </c>
      <c r="H14" t="s">
        <v>797</v>
      </c>
      <c r="I14" t="s">
        <v>798</v>
      </c>
      <c r="J14" t="s">
        <v>799</v>
      </c>
      <c r="K14" t="s">
        <v>800</v>
      </c>
      <c r="L14" t="s">
        <v>801</v>
      </c>
      <c r="M14" t="s">
        <v>802</v>
      </c>
      <c r="N14" t="s">
        <v>803</v>
      </c>
      <c r="O14" t="s">
        <v>804</v>
      </c>
      <c r="P14" t="s">
        <v>805</v>
      </c>
      <c r="Q14" t="s">
        <v>806</v>
      </c>
      <c r="R14" t="s">
        <v>807</v>
      </c>
      <c r="S14" t="s">
        <v>808</v>
      </c>
      <c r="T14" t="s">
        <v>809</v>
      </c>
      <c r="U14" t="s">
        <v>753</v>
      </c>
      <c r="V14" t="s">
        <v>810</v>
      </c>
      <c r="W14" t="s">
        <v>767</v>
      </c>
      <c r="X14" t="s">
        <v>768</v>
      </c>
    </row>
    <row r="15" spans="1:24" x14ac:dyDescent="0.35">
      <c r="A15" t="s">
        <v>811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</row>
    <row r="16" spans="1:24" x14ac:dyDescent="0.35">
      <c r="A16" t="s">
        <v>812</v>
      </c>
      <c r="B16" t="s">
        <v>813</v>
      </c>
      <c r="C16" t="s">
        <v>814</v>
      </c>
      <c r="D16" t="s">
        <v>815</v>
      </c>
      <c r="E16" t="s">
        <v>816</v>
      </c>
      <c r="F16" t="s">
        <v>817</v>
      </c>
      <c r="G16" t="s">
        <v>818</v>
      </c>
      <c r="H16" t="s">
        <v>819</v>
      </c>
      <c r="I16" t="s">
        <v>73</v>
      </c>
      <c r="J16" t="s">
        <v>820</v>
      </c>
      <c r="K16" t="s">
        <v>73</v>
      </c>
      <c r="L16" t="s">
        <v>73</v>
      </c>
      <c r="M16" t="s">
        <v>73</v>
      </c>
      <c r="N16" t="s">
        <v>73</v>
      </c>
      <c r="O16" t="s">
        <v>821</v>
      </c>
      <c r="P16" t="s">
        <v>73</v>
      </c>
      <c r="Q16" t="s">
        <v>73</v>
      </c>
      <c r="R16" t="s">
        <v>73</v>
      </c>
      <c r="S16" t="s">
        <v>73</v>
      </c>
      <c r="T16" t="s">
        <v>822</v>
      </c>
      <c r="U16" t="s">
        <v>823</v>
      </c>
      <c r="V16" t="s">
        <v>824</v>
      </c>
      <c r="W16" t="s">
        <v>825</v>
      </c>
      <c r="X16" t="s">
        <v>826</v>
      </c>
    </row>
    <row r="17" spans="1:24" x14ac:dyDescent="0.35">
      <c r="A17" t="s">
        <v>827</v>
      </c>
      <c r="B17" t="s">
        <v>828</v>
      </c>
      <c r="C17" t="s">
        <v>829</v>
      </c>
      <c r="D17" t="s">
        <v>830</v>
      </c>
      <c r="E17" t="s">
        <v>831</v>
      </c>
      <c r="F17" t="s">
        <v>832</v>
      </c>
      <c r="G17" t="s">
        <v>833</v>
      </c>
      <c r="H17" t="s">
        <v>834</v>
      </c>
      <c r="I17" t="s">
        <v>835</v>
      </c>
      <c r="J17" t="s">
        <v>836</v>
      </c>
      <c r="K17" t="s">
        <v>837</v>
      </c>
      <c r="L17" t="s">
        <v>838</v>
      </c>
      <c r="M17" t="s">
        <v>839</v>
      </c>
      <c r="N17" t="s">
        <v>840</v>
      </c>
      <c r="O17" t="s">
        <v>841</v>
      </c>
      <c r="P17" t="s">
        <v>842</v>
      </c>
      <c r="Q17" t="s">
        <v>843</v>
      </c>
      <c r="R17" t="s">
        <v>844</v>
      </c>
      <c r="S17" t="s">
        <v>845</v>
      </c>
      <c r="T17" t="s">
        <v>846</v>
      </c>
      <c r="U17" t="s">
        <v>847</v>
      </c>
      <c r="V17" t="s">
        <v>848</v>
      </c>
      <c r="W17" t="s">
        <v>849</v>
      </c>
      <c r="X17" t="s">
        <v>850</v>
      </c>
    </row>
    <row r="18" spans="1:24" x14ac:dyDescent="0.35">
      <c r="A18" t="s">
        <v>851</v>
      </c>
      <c r="B18" t="s">
        <v>852</v>
      </c>
      <c r="C18" t="s">
        <v>853</v>
      </c>
      <c r="D18" t="s">
        <v>854</v>
      </c>
      <c r="E18" t="s">
        <v>855</v>
      </c>
      <c r="F18" t="s">
        <v>856</v>
      </c>
      <c r="G18" t="s">
        <v>857</v>
      </c>
      <c r="H18" t="s">
        <v>858</v>
      </c>
      <c r="I18" t="s">
        <v>859</v>
      </c>
      <c r="J18" t="s">
        <v>860</v>
      </c>
      <c r="K18" t="s">
        <v>861</v>
      </c>
      <c r="L18" t="s">
        <v>862</v>
      </c>
      <c r="M18" t="s">
        <v>863</v>
      </c>
      <c r="N18" t="s">
        <v>864</v>
      </c>
      <c r="O18" t="s">
        <v>865</v>
      </c>
      <c r="P18" t="s">
        <v>866</v>
      </c>
      <c r="Q18" t="s">
        <v>867</v>
      </c>
      <c r="R18" t="s">
        <v>868</v>
      </c>
      <c r="S18" t="s">
        <v>869</v>
      </c>
      <c r="T18" t="s">
        <v>870</v>
      </c>
      <c r="U18" t="s">
        <v>871</v>
      </c>
      <c r="V18" t="s">
        <v>872</v>
      </c>
      <c r="W18" t="s">
        <v>873</v>
      </c>
      <c r="X18" t="s">
        <v>874</v>
      </c>
    </row>
    <row r="19" spans="1:24" x14ac:dyDescent="0.35">
      <c r="A19" t="s">
        <v>875</v>
      </c>
      <c r="B19" t="s">
        <v>876</v>
      </c>
      <c r="C19" t="s">
        <v>877</v>
      </c>
      <c r="D19" t="s">
        <v>878</v>
      </c>
      <c r="E19" t="s">
        <v>879</v>
      </c>
      <c r="F19" t="s">
        <v>880</v>
      </c>
      <c r="G19" t="s">
        <v>881</v>
      </c>
      <c r="H19" t="s">
        <v>882</v>
      </c>
      <c r="I19" t="s">
        <v>883</v>
      </c>
      <c r="J19" t="s">
        <v>884</v>
      </c>
      <c r="K19" t="s">
        <v>885</v>
      </c>
      <c r="L19" t="s">
        <v>886</v>
      </c>
      <c r="M19" t="s">
        <v>887</v>
      </c>
      <c r="N19" t="s">
        <v>888</v>
      </c>
      <c r="O19" t="s">
        <v>889</v>
      </c>
      <c r="P19" t="s">
        <v>890</v>
      </c>
      <c r="Q19" t="s">
        <v>891</v>
      </c>
      <c r="R19" t="s">
        <v>892</v>
      </c>
      <c r="S19" t="s">
        <v>893</v>
      </c>
      <c r="T19" t="s">
        <v>894</v>
      </c>
      <c r="U19" t="s">
        <v>895</v>
      </c>
      <c r="V19" t="s">
        <v>896</v>
      </c>
      <c r="W19" t="s">
        <v>897</v>
      </c>
      <c r="X19" t="s">
        <v>898</v>
      </c>
    </row>
    <row r="20" spans="1:24" s="5" customFormat="1" x14ac:dyDescent="0.35">
      <c r="A20" s="5" t="s">
        <v>899</v>
      </c>
      <c r="B20" s="5" t="s">
        <v>900</v>
      </c>
      <c r="C20" s="5" t="s">
        <v>901</v>
      </c>
      <c r="D20" s="5" t="s">
        <v>902</v>
      </c>
      <c r="E20" s="5" t="s">
        <v>903</v>
      </c>
      <c r="F20" s="5" t="s">
        <v>904</v>
      </c>
      <c r="G20" s="5" t="s">
        <v>905</v>
      </c>
      <c r="H20" s="5" t="s">
        <v>906</v>
      </c>
      <c r="I20" s="5" t="s">
        <v>907</v>
      </c>
      <c r="J20" s="5" t="s">
        <v>908</v>
      </c>
      <c r="K20" s="5" t="s">
        <v>909</v>
      </c>
      <c r="L20" s="5" t="s">
        <v>910</v>
      </c>
      <c r="M20" s="5" t="s">
        <v>911</v>
      </c>
      <c r="N20" s="5" t="s">
        <v>912</v>
      </c>
      <c r="O20" s="5" t="s">
        <v>913</v>
      </c>
      <c r="P20" s="5" t="s">
        <v>914</v>
      </c>
      <c r="Q20" s="5" t="s">
        <v>915</v>
      </c>
      <c r="R20" s="5" t="s">
        <v>916</v>
      </c>
      <c r="S20" s="5" t="s">
        <v>917</v>
      </c>
      <c r="T20" s="5" t="s">
        <v>918</v>
      </c>
      <c r="U20" s="5" t="s">
        <v>919</v>
      </c>
      <c r="V20" s="5" t="s">
        <v>920</v>
      </c>
      <c r="W20" s="5" t="s">
        <v>921</v>
      </c>
      <c r="X20" s="5" t="s">
        <v>922</v>
      </c>
    </row>
    <row r="21" spans="1:24" x14ac:dyDescent="0.35">
      <c r="A21" t="s">
        <v>923</v>
      </c>
      <c r="B21" t="s">
        <v>924</v>
      </c>
      <c r="C21" t="s">
        <v>925</v>
      </c>
      <c r="D21" t="s">
        <v>926</v>
      </c>
      <c r="E21" t="s">
        <v>927</v>
      </c>
      <c r="F21" t="s">
        <v>928</v>
      </c>
      <c r="G21" t="s">
        <v>929</v>
      </c>
      <c r="H21" t="s">
        <v>930</v>
      </c>
      <c r="I21" t="s">
        <v>931</v>
      </c>
      <c r="J21" t="s">
        <v>932</v>
      </c>
      <c r="K21" t="s">
        <v>933</v>
      </c>
      <c r="L21" t="s">
        <v>934</v>
      </c>
      <c r="M21" t="s">
        <v>935</v>
      </c>
      <c r="N21" t="s">
        <v>936</v>
      </c>
      <c r="O21" t="s">
        <v>937</v>
      </c>
      <c r="P21" t="s">
        <v>938</v>
      </c>
      <c r="Q21" t="s">
        <v>939</v>
      </c>
      <c r="R21" t="s">
        <v>940</v>
      </c>
      <c r="S21" t="s">
        <v>941</v>
      </c>
      <c r="T21" t="s">
        <v>942</v>
      </c>
      <c r="U21" t="s">
        <v>943</v>
      </c>
      <c r="V21" t="s">
        <v>944</v>
      </c>
      <c r="W21" t="s">
        <v>945</v>
      </c>
      <c r="X21" t="s">
        <v>946</v>
      </c>
    </row>
    <row r="22" spans="1:24" x14ac:dyDescent="0.35">
      <c r="A22" t="s">
        <v>947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</row>
    <row r="23" spans="1:24" x14ac:dyDescent="0.35">
      <c r="A23" t="s">
        <v>948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</row>
    <row r="24" spans="1:24" x14ac:dyDescent="0.35">
      <c r="A24" t="s">
        <v>949</v>
      </c>
      <c r="B24" t="s">
        <v>950</v>
      </c>
      <c r="C24" t="s">
        <v>951</v>
      </c>
      <c r="D24" t="s">
        <v>952</v>
      </c>
      <c r="E24" t="s">
        <v>953</v>
      </c>
      <c r="F24" t="s">
        <v>954</v>
      </c>
      <c r="G24" t="s">
        <v>955</v>
      </c>
      <c r="H24" t="s">
        <v>956</v>
      </c>
      <c r="I24" t="s">
        <v>957</v>
      </c>
      <c r="J24" t="s">
        <v>958</v>
      </c>
      <c r="K24" t="s">
        <v>959</v>
      </c>
      <c r="L24" t="s">
        <v>960</v>
      </c>
      <c r="M24" t="s">
        <v>961</v>
      </c>
      <c r="N24" t="s">
        <v>962</v>
      </c>
      <c r="O24" t="s">
        <v>963</v>
      </c>
      <c r="P24" t="s">
        <v>964</v>
      </c>
      <c r="Q24" t="s">
        <v>965</v>
      </c>
      <c r="R24" t="s">
        <v>966</v>
      </c>
      <c r="S24" t="s">
        <v>967</v>
      </c>
      <c r="T24" t="s">
        <v>968</v>
      </c>
      <c r="U24" t="s">
        <v>969</v>
      </c>
      <c r="V24" t="s">
        <v>970</v>
      </c>
      <c r="W24" t="s">
        <v>971</v>
      </c>
      <c r="X24" t="s">
        <v>972</v>
      </c>
    </row>
    <row r="25" spans="1:24" x14ac:dyDescent="0.35">
      <c r="A25" t="s">
        <v>973</v>
      </c>
      <c r="B25" t="s">
        <v>974</v>
      </c>
      <c r="C25" t="s">
        <v>975</v>
      </c>
      <c r="D25" t="s">
        <v>976</v>
      </c>
      <c r="E25" t="s">
        <v>977</v>
      </c>
      <c r="F25" t="s">
        <v>978</v>
      </c>
      <c r="G25" t="s">
        <v>979</v>
      </c>
      <c r="H25" t="s">
        <v>980</v>
      </c>
      <c r="I25" t="s">
        <v>981</v>
      </c>
      <c r="J25" t="s">
        <v>982</v>
      </c>
      <c r="K25" t="s">
        <v>983</v>
      </c>
      <c r="L25" t="s">
        <v>984</v>
      </c>
      <c r="M25" t="s">
        <v>985</v>
      </c>
      <c r="N25" t="s">
        <v>986</v>
      </c>
      <c r="O25" t="s">
        <v>987</v>
      </c>
      <c r="P25" t="s">
        <v>988</v>
      </c>
      <c r="Q25" t="s">
        <v>989</v>
      </c>
      <c r="R25" t="s">
        <v>990</v>
      </c>
      <c r="S25" t="s">
        <v>991</v>
      </c>
      <c r="T25" t="s">
        <v>992</v>
      </c>
      <c r="U25" t="s">
        <v>566</v>
      </c>
      <c r="V25" t="s">
        <v>590</v>
      </c>
      <c r="W25" t="s">
        <v>590</v>
      </c>
      <c r="X25" t="s">
        <v>993</v>
      </c>
    </row>
    <row r="26" spans="1:24" x14ac:dyDescent="0.35">
      <c r="A26" t="s">
        <v>994</v>
      </c>
      <c r="B26" t="s">
        <v>995</v>
      </c>
      <c r="C26" t="s">
        <v>996</v>
      </c>
      <c r="D26" t="s">
        <v>997</v>
      </c>
      <c r="E26" t="s">
        <v>998</v>
      </c>
      <c r="F26" t="s">
        <v>999</v>
      </c>
      <c r="G26" t="s">
        <v>1000</v>
      </c>
      <c r="H26" t="s">
        <v>1001</v>
      </c>
      <c r="I26" t="s">
        <v>1002</v>
      </c>
      <c r="J26" t="s">
        <v>1003</v>
      </c>
      <c r="K26" t="s">
        <v>1004</v>
      </c>
      <c r="L26" t="s">
        <v>1005</v>
      </c>
      <c r="M26" t="s">
        <v>1006</v>
      </c>
      <c r="N26" t="s">
        <v>1007</v>
      </c>
      <c r="O26" t="s">
        <v>1008</v>
      </c>
      <c r="P26" t="s">
        <v>1009</v>
      </c>
      <c r="Q26" t="s">
        <v>293</v>
      </c>
      <c r="R26" t="s">
        <v>1010</v>
      </c>
      <c r="S26" t="s">
        <v>1011</v>
      </c>
      <c r="T26" t="s">
        <v>1012</v>
      </c>
      <c r="U26" t="s">
        <v>1013</v>
      </c>
      <c r="V26" t="s">
        <v>1014</v>
      </c>
      <c r="W26" t="s">
        <v>1015</v>
      </c>
      <c r="X26" t="s">
        <v>1016</v>
      </c>
    </row>
    <row r="27" spans="1:24" x14ac:dyDescent="0.35">
      <c r="A27" t="s">
        <v>1017</v>
      </c>
      <c r="B27" t="s">
        <v>1018</v>
      </c>
      <c r="C27" t="s">
        <v>1019</v>
      </c>
      <c r="D27" t="s">
        <v>1020</v>
      </c>
      <c r="E27" t="s">
        <v>1021</v>
      </c>
      <c r="F27" t="s">
        <v>1022</v>
      </c>
      <c r="G27" t="s">
        <v>1023</v>
      </c>
      <c r="H27" t="s">
        <v>1024</v>
      </c>
      <c r="I27" t="s">
        <v>1025</v>
      </c>
      <c r="J27" t="s">
        <v>1026</v>
      </c>
      <c r="K27" t="s">
        <v>1027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</row>
    <row r="28" spans="1:24" x14ac:dyDescent="0.35">
      <c r="A28" t="s">
        <v>1028</v>
      </c>
      <c r="B28" t="s">
        <v>1029</v>
      </c>
      <c r="C28" t="s">
        <v>1030</v>
      </c>
      <c r="D28" t="s">
        <v>1031</v>
      </c>
      <c r="E28" t="s">
        <v>1032</v>
      </c>
      <c r="F28" t="s">
        <v>1033</v>
      </c>
      <c r="G28" t="s">
        <v>1034</v>
      </c>
      <c r="H28" t="s">
        <v>1035</v>
      </c>
      <c r="I28" t="s">
        <v>1036</v>
      </c>
      <c r="J28" t="s">
        <v>1037</v>
      </c>
      <c r="K28" t="s">
        <v>1038</v>
      </c>
      <c r="L28" t="s">
        <v>1039</v>
      </c>
      <c r="M28" t="s">
        <v>1040</v>
      </c>
      <c r="N28" t="s">
        <v>1041</v>
      </c>
      <c r="O28" t="s">
        <v>1042</v>
      </c>
      <c r="P28" t="s">
        <v>1043</v>
      </c>
      <c r="Q28" t="s">
        <v>1044</v>
      </c>
      <c r="R28" t="s">
        <v>1045</v>
      </c>
      <c r="S28" t="s">
        <v>1046</v>
      </c>
      <c r="T28" t="s">
        <v>124</v>
      </c>
      <c r="U28" t="s">
        <v>1047</v>
      </c>
      <c r="V28" t="s">
        <v>1048</v>
      </c>
      <c r="W28" t="s">
        <v>1049</v>
      </c>
      <c r="X28" t="s">
        <v>1050</v>
      </c>
    </row>
    <row r="29" spans="1:24" x14ac:dyDescent="0.35">
      <c r="A29" t="s">
        <v>1051</v>
      </c>
      <c r="B29" t="s">
        <v>1052</v>
      </c>
      <c r="C29" t="s">
        <v>1053</v>
      </c>
      <c r="D29" t="s">
        <v>1054</v>
      </c>
      <c r="E29" t="s">
        <v>1055</v>
      </c>
      <c r="F29" t="s">
        <v>1056</v>
      </c>
      <c r="G29" t="s">
        <v>1057</v>
      </c>
      <c r="H29" t="s">
        <v>1058</v>
      </c>
      <c r="I29" t="s">
        <v>1059</v>
      </c>
      <c r="J29" t="s">
        <v>1060</v>
      </c>
      <c r="K29" t="s">
        <v>1061</v>
      </c>
      <c r="L29" t="s">
        <v>1062</v>
      </c>
      <c r="M29" t="s">
        <v>1063</v>
      </c>
      <c r="N29" t="s">
        <v>1064</v>
      </c>
      <c r="O29" t="s">
        <v>1065</v>
      </c>
      <c r="P29" t="s">
        <v>1066</v>
      </c>
      <c r="Q29" t="s">
        <v>1067</v>
      </c>
      <c r="R29" t="s">
        <v>1068</v>
      </c>
      <c r="S29" t="s">
        <v>1069</v>
      </c>
      <c r="T29" t="s">
        <v>1070</v>
      </c>
      <c r="U29" t="s">
        <v>1071</v>
      </c>
      <c r="V29" t="s">
        <v>1072</v>
      </c>
      <c r="W29" t="s">
        <v>1073</v>
      </c>
      <c r="X29" t="s">
        <v>1074</v>
      </c>
    </row>
    <row r="30" spans="1:24" x14ac:dyDescent="0.35">
      <c r="A30" t="s">
        <v>1075</v>
      </c>
      <c r="B30" t="s">
        <v>1076</v>
      </c>
      <c r="C30" t="s">
        <v>1077</v>
      </c>
      <c r="D30" t="s">
        <v>1078</v>
      </c>
      <c r="E30" t="s">
        <v>1079</v>
      </c>
      <c r="F30" t="s">
        <v>1080</v>
      </c>
      <c r="G30" t="s">
        <v>73</v>
      </c>
      <c r="H30" t="s">
        <v>73</v>
      </c>
      <c r="I30" t="s">
        <v>73</v>
      </c>
      <c r="J30" t="s">
        <v>1081</v>
      </c>
      <c r="K30" t="s">
        <v>1082</v>
      </c>
      <c r="L30" t="s">
        <v>1083</v>
      </c>
      <c r="M30" t="s">
        <v>1084</v>
      </c>
      <c r="N30" t="s">
        <v>73</v>
      </c>
      <c r="O30" t="s">
        <v>73</v>
      </c>
      <c r="P30" t="s">
        <v>73</v>
      </c>
      <c r="Q30" t="s">
        <v>73</v>
      </c>
      <c r="R30" t="s">
        <v>1085</v>
      </c>
      <c r="S30" t="s">
        <v>1086</v>
      </c>
      <c r="T30" t="s">
        <v>1087</v>
      </c>
      <c r="U30" t="s">
        <v>1088</v>
      </c>
      <c r="V30" t="s">
        <v>1089</v>
      </c>
      <c r="W30" t="s">
        <v>1090</v>
      </c>
      <c r="X30" t="s">
        <v>1091</v>
      </c>
    </row>
    <row r="31" spans="1:24" x14ac:dyDescent="0.35">
      <c r="A31" t="s">
        <v>1092</v>
      </c>
      <c r="B31" t="s">
        <v>1093</v>
      </c>
      <c r="C31" t="s">
        <v>73</v>
      </c>
      <c r="D31" t="s">
        <v>73</v>
      </c>
      <c r="E31" t="s">
        <v>667</v>
      </c>
      <c r="F31" t="s">
        <v>1094</v>
      </c>
      <c r="G31" t="s">
        <v>1095</v>
      </c>
      <c r="H31" t="s">
        <v>1096</v>
      </c>
      <c r="I31" t="s">
        <v>1097</v>
      </c>
      <c r="J31" t="s">
        <v>1098</v>
      </c>
      <c r="K31" t="s">
        <v>1099</v>
      </c>
      <c r="L31" t="s">
        <v>1100</v>
      </c>
      <c r="M31" t="s">
        <v>1101</v>
      </c>
      <c r="N31" t="s">
        <v>1102</v>
      </c>
      <c r="O31" t="s">
        <v>1103</v>
      </c>
      <c r="P31" t="s">
        <v>1104</v>
      </c>
      <c r="Q31" t="s">
        <v>1105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</row>
    <row r="32" spans="1:24" x14ac:dyDescent="0.35">
      <c r="A32" t="s">
        <v>1106</v>
      </c>
      <c r="B32" t="s">
        <v>1107</v>
      </c>
      <c r="C32" t="s">
        <v>1108</v>
      </c>
      <c r="D32" t="s">
        <v>1109</v>
      </c>
      <c r="E32" t="s">
        <v>1110</v>
      </c>
      <c r="F32" t="s">
        <v>307</v>
      </c>
      <c r="G32" t="s">
        <v>1111</v>
      </c>
      <c r="H32" t="s">
        <v>1112</v>
      </c>
      <c r="I32" t="s">
        <v>1113</v>
      </c>
      <c r="J32" t="s">
        <v>1114</v>
      </c>
      <c r="K32" t="s">
        <v>1115</v>
      </c>
      <c r="L32" t="s">
        <v>1116</v>
      </c>
      <c r="M32" t="s">
        <v>1117</v>
      </c>
      <c r="N32" t="s">
        <v>1118</v>
      </c>
      <c r="O32" t="s">
        <v>1118</v>
      </c>
      <c r="P32" t="s">
        <v>1118</v>
      </c>
      <c r="Q32" t="s">
        <v>1118</v>
      </c>
      <c r="R32" t="s">
        <v>73</v>
      </c>
      <c r="S32" t="s">
        <v>1119</v>
      </c>
      <c r="T32" t="s">
        <v>1120</v>
      </c>
      <c r="U32" t="s">
        <v>1121</v>
      </c>
      <c r="V32" t="s">
        <v>1122</v>
      </c>
      <c r="W32" t="s">
        <v>1123</v>
      </c>
      <c r="X32" t="s">
        <v>1124</v>
      </c>
    </row>
    <row r="33" spans="1:24" x14ac:dyDescent="0.35">
      <c r="A33" t="s">
        <v>1125</v>
      </c>
      <c r="B33" t="s">
        <v>1126</v>
      </c>
      <c r="C33" t="s">
        <v>1127</v>
      </c>
      <c r="D33" t="s">
        <v>1128</v>
      </c>
      <c r="E33" t="s">
        <v>1129</v>
      </c>
      <c r="F33" t="s">
        <v>1130</v>
      </c>
      <c r="G33" t="s">
        <v>1131</v>
      </c>
      <c r="H33" t="s">
        <v>1132</v>
      </c>
      <c r="I33" t="s">
        <v>1133</v>
      </c>
      <c r="J33" t="s">
        <v>1134</v>
      </c>
      <c r="K33" t="s">
        <v>1135</v>
      </c>
      <c r="L33" t="s">
        <v>1136</v>
      </c>
      <c r="M33" t="s">
        <v>1137</v>
      </c>
      <c r="N33" t="s">
        <v>1138</v>
      </c>
      <c r="O33" t="s">
        <v>1139</v>
      </c>
      <c r="P33" t="s">
        <v>1140</v>
      </c>
      <c r="Q33" t="s">
        <v>1141</v>
      </c>
      <c r="R33" t="s">
        <v>1142</v>
      </c>
      <c r="S33" t="s">
        <v>1143</v>
      </c>
      <c r="T33" t="s">
        <v>1144</v>
      </c>
      <c r="U33" t="s">
        <v>1145</v>
      </c>
      <c r="V33" t="s">
        <v>1146</v>
      </c>
      <c r="W33" t="s">
        <v>1147</v>
      </c>
      <c r="X33" t="s">
        <v>1148</v>
      </c>
    </row>
    <row r="34" spans="1:24" x14ac:dyDescent="0.35">
      <c r="A34" t="s">
        <v>1149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  <c r="L34" t="s">
        <v>9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</row>
    <row r="35" spans="1:24" x14ac:dyDescent="0.35">
      <c r="A35" t="s">
        <v>1150</v>
      </c>
      <c r="B35" t="s">
        <v>1151</v>
      </c>
      <c r="C35" t="s">
        <v>1152</v>
      </c>
      <c r="D35" t="s">
        <v>1153</v>
      </c>
      <c r="E35" t="s">
        <v>1154</v>
      </c>
      <c r="F35" t="s">
        <v>1155</v>
      </c>
      <c r="G35" t="s">
        <v>1156</v>
      </c>
      <c r="H35" t="s">
        <v>1157</v>
      </c>
      <c r="I35" t="s">
        <v>1158</v>
      </c>
      <c r="J35" t="s">
        <v>1159</v>
      </c>
      <c r="K35" t="s">
        <v>1160</v>
      </c>
      <c r="L35" t="s">
        <v>1161</v>
      </c>
      <c r="M35" t="s">
        <v>1162</v>
      </c>
      <c r="N35" t="s">
        <v>1163</v>
      </c>
      <c r="O35" t="s">
        <v>1164</v>
      </c>
      <c r="P35" t="s">
        <v>1165</v>
      </c>
      <c r="Q35" t="s">
        <v>1166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</row>
    <row r="36" spans="1:24" s="5" customFormat="1" x14ac:dyDescent="0.35">
      <c r="A36" s="5" t="s">
        <v>1167</v>
      </c>
      <c r="B36" s="5" t="s">
        <v>1168</v>
      </c>
      <c r="C36" s="5" t="s">
        <v>1169</v>
      </c>
      <c r="D36" s="5" t="s">
        <v>1170</v>
      </c>
      <c r="E36" s="5" t="s">
        <v>1171</v>
      </c>
      <c r="F36" s="5" t="s">
        <v>1172</v>
      </c>
      <c r="G36" s="5" t="s">
        <v>1173</v>
      </c>
      <c r="H36" s="5" t="s">
        <v>1174</v>
      </c>
      <c r="I36" s="5" t="s">
        <v>1175</v>
      </c>
      <c r="J36" s="5" t="s">
        <v>1176</v>
      </c>
      <c r="K36" s="5" t="s">
        <v>1177</v>
      </c>
      <c r="L36" s="5" t="s">
        <v>1178</v>
      </c>
      <c r="M36" s="5" t="s">
        <v>1179</v>
      </c>
      <c r="N36" s="5" t="s">
        <v>1180</v>
      </c>
      <c r="O36" s="5" t="s">
        <v>1181</v>
      </c>
      <c r="P36" s="5" t="s">
        <v>1182</v>
      </c>
      <c r="Q36" s="5" t="s">
        <v>1183</v>
      </c>
      <c r="R36" s="5" t="s">
        <v>1184</v>
      </c>
      <c r="S36" s="5" t="s">
        <v>1185</v>
      </c>
      <c r="T36" s="5" t="s">
        <v>1186</v>
      </c>
      <c r="U36" s="5" t="s">
        <v>1187</v>
      </c>
      <c r="V36" s="5" t="s">
        <v>1188</v>
      </c>
      <c r="W36" s="5" t="s">
        <v>1189</v>
      </c>
      <c r="X36" s="5" t="s">
        <v>1190</v>
      </c>
    </row>
    <row r="37" spans="1:24" x14ac:dyDescent="0.35">
      <c r="A37" t="s">
        <v>1191</v>
      </c>
      <c r="B37" t="s">
        <v>1192</v>
      </c>
      <c r="C37" t="s">
        <v>1193</v>
      </c>
      <c r="D37" t="s">
        <v>1194</v>
      </c>
      <c r="E37" t="s">
        <v>1195</v>
      </c>
      <c r="F37" t="s">
        <v>1196</v>
      </c>
      <c r="G37" t="s">
        <v>1197</v>
      </c>
      <c r="H37" t="s">
        <v>1198</v>
      </c>
      <c r="I37" t="s">
        <v>1199</v>
      </c>
      <c r="J37" t="s">
        <v>1200</v>
      </c>
      <c r="K37" t="s">
        <v>1201</v>
      </c>
      <c r="L37" t="s">
        <v>1202</v>
      </c>
      <c r="M37" t="s">
        <v>1203</v>
      </c>
      <c r="N37" t="s">
        <v>1204</v>
      </c>
      <c r="O37" t="s">
        <v>1205</v>
      </c>
      <c r="P37" t="s">
        <v>1206</v>
      </c>
      <c r="Q37" t="s">
        <v>1207</v>
      </c>
      <c r="R37" t="s">
        <v>1208</v>
      </c>
      <c r="S37" t="s">
        <v>1209</v>
      </c>
      <c r="T37" t="s">
        <v>1210</v>
      </c>
      <c r="U37" t="s">
        <v>1211</v>
      </c>
      <c r="V37" t="s">
        <v>1212</v>
      </c>
      <c r="W37" t="s">
        <v>1213</v>
      </c>
      <c r="X37" t="s">
        <v>1214</v>
      </c>
    </row>
    <row r="38" spans="1:24" x14ac:dyDescent="0.35">
      <c r="A38" t="s">
        <v>1215</v>
      </c>
      <c r="B38" t="s">
        <v>1216</v>
      </c>
      <c r="C38" t="s">
        <v>1217</v>
      </c>
      <c r="D38" t="s">
        <v>1218</v>
      </c>
      <c r="E38" t="s">
        <v>1219</v>
      </c>
      <c r="F38" t="s">
        <v>1220</v>
      </c>
      <c r="G38" t="s">
        <v>276</v>
      </c>
      <c r="H38" t="s">
        <v>1221</v>
      </c>
      <c r="I38" t="s">
        <v>1222</v>
      </c>
      <c r="J38" t="s">
        <v>1223</v>
      </c>
      <c r="K38" t="s">
        <v>1224</v>
      </c>
      <c r="L38" t="s">
        <v>1225</v>
      </c>
      <c r="M38" t="s">
        <v>1226</v>
      </c>
      <c r="N38" t="s">
        <v>1227</v>
      </c>
      <c r="O38" t="s">
        <v>1228</v>
      </c>
      <c r="P38" t="s">
        <v>1229</v>
      </c>
      <c r="Q38" t="s">
        <v>1230</v>
      </c>
      <c r="R38" t="s">
        <v>1231</v>
      </c>
      <c r="S38" t="s">
        <v>1232</v>
      </c>
      <c r="T38" t="s">
        <v>1233</v>
      </c>
      <c r="U38" t="s">
        <v>1234</v>
      </c>
      <c r="V38" t="s">
        <v>1235</v>
      </c>
      <c r="W38" t="s">
        <v>1236</v>
      </c>
      <c r="X38" t="s">
        <v>1237</v>
      </c>
    </row>
    <row r="39" spans="1:24" x14ac:dyDescent="0.35">
      <c r="A39" t="s">
        <v>1238</v>
      </c>
      <c r="B39" t="s">
        <v>1239</v>
      </c>
      <c r="C39" t="s">
        <v>1240</v>
      </c>
      <c r="D39" t="s">
        <v>1241</v>
      </c>
      <c r="E39" t="s">
        <v>1242</v>
      </c>
      <c r="F39" t="s">
        <v>1243</v>
      </c>
      <c r="G39" t="s">
        <v>1244</v>
      </c>
      <c r="H39" t="s">
        <v>1245</v>
      </c>
      <c r="I39" t="s">
        <v>1246</v>
      </c>
      <c r="J39" t="s">
        <v>1247</v>
      </c>
      <c r="K39" t="s">
        <v>1248</v>
      </c>
      <c r="L39" t="s">
        <v>1249</v>
      </c>
      <c r="M39" t="s">
        <v>1250</v>
      </c>
      <c r="N39" t="s">
        <v>1251</v>
      </c>
      <c r="O39" t="s">
        <v>1252</v>
      </c>
      <c r="P39" t="s">
        <v>1253</v>
      </c>
      <c r="Q39" t="s">
        <v>1254</v>
      </c>
      <c r="R39" t="s">
        <v>1255</v>
      </c>
      <c r="S39" t="s">
        <v>1256</v>
      </c>
      <c r="T39" t="s">
        <v>1257</v>
      </c>
      <c r="U39" t="s">
        <v>1258</v>
      </c>
      <c r="V39" t="s">
        <v>1259</v>
      </c>
      <c r="W39" t="s">
        <v>1260</v>
      </c>
      <c r="X39" t="s">
        <v>1261</v>
      </c>
    </row>
    <row r="40" spans="1:24" x14ac:dyDescent="0.35">
      <c r="A40" t="s">
        <v>1262</v>
      </c>
      <c r="B40" t="s">
        <v>1263</v>
      </c>
      <c r="C40" t="s">
        <v>1264</v>
      </c>
      <c r="D40" t="s">
        <v>1265</v>
      </c>
      <c r="E40" t="s">
        <v>1266</v>
      </c>
      <c r="F40" t="s">
        <v>1267</v>
      </c>
      <c r="G40" t="s">
        <v>1268</v>
      </c>
      <c r="H40" t="s">
        <v>1269</v>
      </c>
      <c r="I40" t="s">
        <v>1270</v>
      </c>
      <c r="J40" t="s">
        <v>1271</v>
      </c>
      <c r="K40" t="s">
        <v>1272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230</v>
      </c>
      <c r="U40" t="s">
        <v>1273</v>
      </c>
      <c r="V40" t="s">
        <v>1274</v>
      </c>
      <c r="W40" t="s">
        <v>1275</v>
      </c>
      <c r="X40" t="s">
        <v>743</v>
      </c>
    </row>
    <row r="41" spans="1:24" s="5" customFormat="1" x14ac:dyDescent="0.35">
      <c r="A41" s="5" t="s">
        <v>1276</v>
      </c>
      <c r="B41" s="5" t="s">
        <v>1277</v>
      </c>
      <c r="C41" s="5" t="s">
        <v>1278</v>
      </c>
      <c r="D41" s="5" t="s">
        <v>1279</v>
      </c>
      <c r="E41" s="5" t="s">
        <v>1280</v>
      </c>
      <c r="F41" s="5" t="s">
        <v>1281</v>
      </c>
      <c r="G41" s="5" t="s">
        <v>1282</v>
      </c>
      <c r="H41" s="5" t="s">
        <v>1283</v>
      </c>
      <c r="I41" s="5" t="s">
        <v>1284</v>
      </c>
      <c r="J41" s="5" t="s">
        <v>1285</v>
      </c>
      <c r="K41" s="5" t="s">
        <v>1286</v>
      </c>
      <c r="L41" s="5" t="s">
        <v>1287</v>
      </c>
      <c r="M41" s="5" t="s">
        <v>1288</v>
      </c>
      <c r="N41" s="5" t="s">
        <v>1289</v>
      </c>
      <c r="O41" s="5" t="s">
        <v>1290</v>
      </c>
      <c r="P41" s="5" t="s">
        <v>1291</v>
      </c>
      <c r="Q41" s="5" t="s">
        <v>1292</v>
      </c>
      <c r="R41" s="5" t="s">
        <v>1293</v>
      </c>
      <c r="S41" s="5" t="s">
        <v>1294</v>
      </c>
      <c r="T41" s="5" t="s">
        <v>1295</v>
      </c>
      <c r="U41" s="5" t="s">
        <v>1296</v>
      </c>
      <c r="V41" s="5" t="s">
        <v>1297</v>
      </c>
      <c r="W41" s="5" t="s">
        <v>1298</v>
      </c>
      <c r="X41" s="5" t="s">
        <v>1299</v>
      </c>
    </row>
    <row r="42" spans="1:24" x14ac:dyDescent="0.35">
      <c r="A42" t="s">
        <v>1300</v>
      </c>
      <c r="B42" t="s">
        <v>924</v>
      </c>
      <c r="C42" t="s">
        <v>925</v>
      </c>
      <c r="D42" t="s">
        <v>926</v>
      </c>
      <c r="E42" t="s">
        <v>927</v>
      </c>
      <c r="F42" t="s">
        <v>928</v>
      </c>
      <c r="G42" t="s">
        <v>929</v>
      </c>
      <c r="H42" t="s">
        <v>930</v>
      </c>
      <c r="I42" t="s">
        <v>931</v>
      </c>
      <c r="J42" t="s">
        <v>932</v>
      </c>
      <c r="K42" t="s">
        <v>933</v>
      </c>
      <c r="L42" t="s">
        <v>934</v>
      </c>
      <c r="M42" t="s">
        <v>935</v>
      </c>
      <c r="N42" t="s">
        <v>936</v>
      </c>
      <c r="O42" t="s">
        <v>937</v>
      </c>
      <c r="P42" t="s">
        <v>938</v>
      </c>
      <c r="Q42" t="s">
        <v>939</v>
      </c>
      <c r="R42" t="s">
        <v>940</v>
      </c>
      <c r="S42" t="s">
        <v>941</v>
      </c>
      <c r="T42" t="s">
        <v>942</v>
      </c>
      <c r="U42" t="s">
        <v>943</v>
      </c>
      <c r="V42" t="s">
        <v>944</v>
      </c>
      <c r="W42" t="s">
        <v>945</v>
      </c>
      <c r="X42" t="s">
        <v>946</v>
      </c>
    </row>
    <row r="43" spans="1:24" x14ac:dyDescent="0.35">
      <c r="A43" t="s">
        <v>520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</row>
    <row r="44" spans="1:24" x14ac:dyDescent="0.35">
      <c r="A44" t="s">
        <v>1301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</row>
    <row r="45" spans="1:24" x14ac:dyDescent="0.35">
      <c r="A45" t="s">
        <v>1302</v>
      </c>
      <c r="B45" t="s">
        <v>1303</v>
      </c>
      <c r="C45" t="s">
        <v>1304</v>
      </c>
      <c r="D45" t="s">
        <v>1305</v>
      </c>
      <c r="E45" t="s">
        <v>1306</v>
      </c>
      <c r="F45" t="s">
        <v>1307</v>
      </c>
      <c r="G45" t="s">
        <v>1308</v>
      </c>
      <c r="H45" t="s">
        <v>1309</v>
      </c>
      <c r="I45" t="s">
        <v>1310</v>
      </c>
      <c r="J45" t="s">
        <v>1311</v>
      </c>
      <c r="K45" t="s">
        <v>1312</v>
      </c>
      <c r="L45" t="s">
        <v>1313</v>
      </c>
      <c r="M45" t="s">
        <v>1314</v>
      </c>
      <c r="N45" t="s">
        <v>1315</v>
      </c>
      <c r="O45" t="s">
        <v>1316</v>
      </c>
      <c r="P45" t="s">
        <v>1317</v>
      </c>
      <c r="Q45" t="s">
        <v>1318</v>
      </c>
      <c r="R45" t="s">
        <v>1319</v>
      </c>
      <c r="S45" t="s">
        <v>1320</v>
      </c>
      <c r="T45" t="s">
        <v>1321</v>
      </c>
      <c r="U45" t="s">
        <v>1322</v>
      </c>
      <c r="V45" t="s">
        <v>1323</v>
      </c>
      <c r="W45" t="s">
        <v>1324</v>
      </c>
      <c r="X45" t="s">
        <v>1325</v>
      </c>
    </row>
    <row r="46" spans="1:24" x14ac:dyDescent="0.35">
      <c r="A46" t="s">
        <v>1326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</row>
    <row r="47" spans="1:24" x14ac:dyDescent="0.35">
      <c r="A47" t="s">
        <v>1327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1328</v>
      </c>
      <c r="M47" t="s">
        <v>1329</v>
      </c>
      <c r="N47" t="s">
        <v>761</v>
      </c>
      <c r="O47" t="s">
        <v>1330</v>
      </c>
      <c r="P47" t="s">
        <v>1331</v>
      </c>
      <c r="Q47" t="s">
        <v>1332</v>
      </c>
      <c r="R47" t="s">
        <v>1333</v>
      </c>
      <c r="S47" t="s">
        <v>1334</v>
      </c>
      <c r="T47" t="s">
        <v>1335</v>
      </c>
      <c r="U47" t="s">
        <v>1336</v>
      </c>
      <c r="V47" t="s">
        <v>1337</v>
      </c>
      <c r="W47" t="s">
        <v>1338</v>
      </c>
      <c r="X47" t="s">
        <v>1339</v>
      </c>
    </row>
    <row r="48" spans="1:24" x14ac:dyDescent="0.35">
      <c r="A48" t="s">
        <v>1340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73</v>
      </c>
      <c r="N48" t="s">
        <v>73</v>
      </c>
      <c r="O48" t="s">
        <v>73</v>
      </c>
      <c r="P48" t="s">
        <v>73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73</v>
      </c>
      <c r="X48" t="s">
        <v>73</v>
      </c>
    </row>
    <row r="49" spans="1:24" x14ac:dyDescent="0.35">
      <c r="A49" t="s">
        <v>1341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73</v>
      </c>
      <c r="X49" t="s">
        <v>73</v>
      </c>
    </row>
    <row r="50" spans="1:24" x14ac:dyDescent="0.35">
      <c r="A50" t="s">
        <v>1342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1343</v>
      </c>
      <c r="M50" t="s">
        <v>561</v>
      </c>
      <c r="N50" t="s">
        <v>754</v>
      </c>
      <c r="O50" t="s">
        <v>1344</v>
      </c>
      <c r="P50" t="s">
        <v>1345</v>
      </c>
      <c r="Q50" t="s">
        <v>1346</v>
      </c>
      <c r="R50" t="s">
        <v>1347</v>
      </c>
      <c r="S50" t="s">
        <v>1348</v>
      </c>
      <c r="T50" t="s">
        <v>1349</v>
      </c>
      <c r="U50" t="s">
        <v>1350</v>
      </c>
      <c r="V50" t="s">
        <v>1351</v>
      </c>
      <c r="W50" t="s">
        <v>1352</v>
      </c>
      <c r="X50" t="s">
        <v>1353</v>
      </c>
    </row>
    <row r="51" spans="1:24" x14ac:dyDescent="0.35">
      <c r="A51" t="s">
        <v>1354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</row>
    <row r="52" spans="1:24" x14ac:dyDescent="0.35">
      <c r="A52" t="s">
        <v>1355</v>
      </c>
      <c r="B52" t="s">
        <v>1356</v>
      </c>
      <c r="C52" t="s">
        <v>1357</v>
      </c>
      <c r="D52" t="s">
        <v>1358</v>
      </c>
      <c r="E52" t="s">
        <v>1359</v>
      </c>
      <c r="F52" t="s">
        <v>1360</v>
      </c>
      <c r="G52" t="s">
        <v>1361</v>
      </c>
      <c r="H52" t="s">
        <v>1362</v>
      </c>
      <c r="I52" t="s">
        <v>1363</v>
      </c>
      <c r="J52" t="s">
        <v>1364</v>
      </c>
      <c r="K52" t="s">
        <v>73</v>
      </c>
      <c r="L52" t="s">
        <v>1365</v>
      </c>
      <c r="M52" t="s">
        <v>1366</v>
      </c>
      <c r="N52" t="s">
        <v>1367</v>
      </c>
      <c r="O52" t="s">
        <v>1368</v>
      </c>
      <c r="P52" t="s">
        <v>1369</v>
      </c>
      <c r="Q52" t="s">
        <v>1370</v>
      </c>
      <c r="R52" t="s">
        <v>1371</v>
      </c>
      <c r="S52" t="s">
        <v>1372</v>
      </c>
      <c r="T52" t="s">
        <v>1373</v>
      </c>
      <c r="U52" t="s">
        <v>1374</v>
      </c>
      <c r="V52" t="s">
        <v>283</v>
      </c>
      <c r="W52" t="s">
        <v>1375</v>
      </c>
      <c r="X52" t="s">
        <v>594</v>
      </c>
    </row>
    <row r="53" spans="1:24" x14ac:dyDescent="0.35">
      <c r="A53" t="s">
        <v>1376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</row>
    <row r="54" spans="1:24" x14ac:dyDescent="0.35">
      <c r="A54" t="s">
        <v>1377</v>
      </c>
      <c r="B54" t="s">
        <v>73</v>
      </c>
      <c r="C54" t="s">
        <v>73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  <c r="J54" t="s">
        <v>73</v>
      </c>
      <c r="K54" t="s">
        <v>73</v>
      </c>
      <c r="L54" t="s">
        <v>1378</v>
      </c>
      <c r="M54" t="s">
        <v>1379</v>
      </c>
      <c r="N54" t="s">
        <v>1380</v>
      </c>
      <c r="O54" t="s">
        <v>1380</v>
      </c>
      <c r="P54" t="s">
        <v>1381</v>
      </c>
      <c r="Q54" t="s">
        <v>1382</v>
      </c>
      <c r="R54" t="s">
        <v>1383</v>
      </c>
      <c r="S54" t="s">
        <v>1384</v>
      </c>
      <c r="T54" t="s">
        <v>1385</v>
      </c>
      <c r="U54" t="s">
        <v>1385</v>
      </c>
      <c r="V54" t="s">
        <v>1386</v>
      </c>
      <c r="W54" t="s">
        <v>1387</v>
      </c>
      <c r="X54" t="s">
        <v>1388</v>
      </c>
    </row>
    <row r="55" spans="1:24" x14ac:dyDescent="0.35">
      <c r="A55" t="s">
        <v>1389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  <c r="I55" t="s">
        <v>9</v>
      </c>
      <c r="J55" t="s">
        <v>9</v>
      </c>
      <c r="K55" t="s">
        <v>9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</row>
    <row r="56" spans="1:24" x14ac:dyDescent="0.35">
      <c r="A56" t="s">
        <v>1390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  <c r="J56" t="s">
        <v>73</v>
      </c>
      <c r="K56" t="s">
        <v>73</v>
      </c>
      <c r="L56" t="s">
        <v>1391</v>
      </c>
      <c r="M56" t="s">
        <v>1392</v>
      </c>
      <c r="N56" t="s">
        <v>1393</v>
      </c>
      <c r="O56" t="s">
        <v>1394</v>
      </c>
      <c r="P56" t="s">
        <v>1395</v>
      </c>
      <c r="Q56" t="s">
        <v>1396</v>
      </c>
      <c r="R56" t="s">
        <v>1397</v>
      </c>
      <c r="S56" t="s">
        <v>1398</v>
      </c>
      <c r="T56" t="s">
        <v>1399</v>
      </c>
      <c r="U56" t="s">
        <v>1400</v>
      </c>
      <c r="V56" t="s">
        <v>1401</v>
      </c>
      <c r="W56" t="s">
        <v>1402</v>
      </c>
      <c r="X56" t="s">
        <v>1403</v>
      </c>
    </row>
    <row r="57" spans="1:24" x14ac:dyDescent="0.35">
      <c r="A57" t="s">
        <v>1404</v>
      </c>
      <c r="B57" t="s">
        <v>1405</v>
      </c>
      <c r="C57" t="s">
        <v>1406</v>
      </c>
      <c r="D57" t="s">
        <v>1407</v>
      </c>
      <c r="E57" t="s">
        <v>1408</v>
      </c>
      <c r="F57" t="s">
        <v>1409</v>
      </c>
      <c r="G57" t="s">
        <v>1410</v>
      </c>
      <c r="H57" t="s">
        <v>1411</v>
      </c>
      <c r="I57" t="s">
        <v>1412</v>
      </c>
      <c r="J57" t="s">
        <v>1413</v>
      </c>
      <c r="K57" t="s">
        <v>73</v>
      </c>
      <c r="L57" t="s">
        <v>1414</v>
      </c>
      <c r="M57" t="s">
        <v>1415</v>
      </c>
      <c r="N57" t="s">
        <v>1416</v>
      </c>
      <c r="O57" t="s">
        <v>1417</v>
      </c>
      <c r="P57" t="s">
        <v>1418</v>
      </c>
      <c r="Q57" t="s">
        <v>1419</v>
      </c>
      <c r="R57" t="s">
        <v>1420</v>
      </c>
      <c r="S57" t="s">
        <v>1421</v>
      </c>
      <c r="T57" t="s">
        <v>1422</v>
      </c>
      <c r="U57" t="s">
        <v>588</v>
      </c>
      <c r="V57" t="s">
        <v>589</v>
      </c>
      <c r="W57" t="s">
        <v>1423</v>
      </c>
      <c r="X57" t="s">
        <v>594</v>
      </c>
    </row>
    <row r="58" spans="1:24" x14ac:dyDescent="0.35">
      <c r="A58" t="s">
        <v>1424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9</v>
      </c>
      <c r="N58" t="s">
        <v>9</v>
      </c>
      <c r="O58" t="s">
        <v>9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</row>
    <row r="59" spans="1:24" x14ac:dyDescent="0.35">
      <c r="A59" t="s">
        <v>1425</v>
      </c>
      <c r="B59" t="s">
        <v>1426</v>
      </c>
      <c r="C59" t="s">
        <v>1426</v>
      </c>
      <c r="D59" t="s">
        <v>1426</v>
      </c>
      <c r="E59" t="s">
        <v>1426</v>
      </c>
      <c r="F59" t="s">
        <v>1426</v>
      </c>
      <c r="G59" t="s">
        <v>1426</v>
      </c>
      <c r="H59" t="s">
        <v>1426</v>
      </c>
      <c r="I59" t="s">
        <v>1426</v>
      </c>
      <c r="J59" t="s">
        <v>1426</v>
      </c>
      <c r="K59" t="s">
        <v>1426</v>
      </c>
      <c r="L59" t="s">
        <v>1426</v>
      </c>
      <c r="M59" t="s">
        <v>1426</v>
      </c>
      <c r="N59" t="s">
        <v>1426</v>
      </c>
      <c r="O59" t="s">
        <v>1426</v>
      </c>
      <c r="P59" t="s">
        <v>1426</v>
      </c>
      <c r="Q59" t="s">
        <v>1426</v>
      </c>
      <c r="R59" t="s">
        <v>1426</v>
      </c>
      <c r="S59" t="s">
        <v>1426</v>
      </c>
      <c r="T59" t="s">
        <v>1426</v>
      </c>
      <c r="U59" t="s">
        <v>1426</v>
      </c>
      <c r="V59" t="s">
        <v>1426</v>
      </c>
      <c r="W59" t="s">
        <v>1426</v>
      </c>
      <c r="X59" t="s">
        <v>1427</v>
      </c>
    </row>
    <row r="60" spans="1:24" x14ac:dyDescent="0.35">
      <c r="A60" t="s">
        <v>1428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</row>
    <row r="61" spans="1:24" x14ac:dyDescent="0.35">
      <c r="A61" t="s">
        <v>1429</v>
      </c>
      <c r="B61" t="s">
        <v>73</v>
      </c>
      <c r="C61" t="s">
        <v>73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 t="s">
        <v>73</v>
      </c>
      <c r="J61" t="s">
        <v>73</v>
      </c>
      <c r="K61" t="s">
        <v>73</v>
      </c>
      <c r="L61" t="s">
        <v>1430</v>
      </c>
      <c r="M61" t="s">
        <v>1431</v>
      </c>
      <c r="N61" t="s">
        <v>1432</v>
      </c>
      <c r="O61" t="s">
        <v>1208</v>
      </c>
      <c r="P61" t="s">
        <v>1433</v>
      </c>
      <c r="Q61" t="s">
        <v>1434</v>
      </c>
      <c r="R61" t="s">
        <v>1435</v>
      </c>
      <c r="S61" t="s">
        <v>1436</v>
      </c>
      <c r="T61" t="s">
        <v>1350</v>
      </c>
      <c r="U61" t="s">
        <v>1437</v>
      </c>
      <c r="V61" t="s">
        <v>1438</v>
      </c>
      <c r="W61" t="s">
        <v>1439</v>
      </c>
      <c r="X61" t="s">
        <v>1440</v>
      </c>
    </row>
    <row r="62" spans="1:24" x14ac:dyDescent="0.35">
      <c r="A62" t="s">
        <v>1441</v>
      </c>
      <c r="B62" t="s">
        <v>1052</v>
      </c>
      <c r="C62" t="s">
        <v>1053</v>
      </c>
      <c r="D62" t="s">
        <v>1054</v>
      </c>
      <c r="E62" t="s">
        <v>1055</v>
      </c>
      <c r="F62" t="s">
        <v>1056</v>
      </c>
      <c r="G62" t="s">
        <v>1057</v>
      </c>
      <c r="H62" t="s">
        <v>1058</v>
      </c>
      <c r="I62" t="s">
        <v>1059</v>
      </c>
      <c r="J62" t="s">
        <v>1060</v>
      </c>
      <c r="K62" t="s">
        <v>1061</v>
      </c>
      <c r="L62" t="s">
        <v>1442</v>
      </c>
      <c r="M62" t="s">
        <v>1443</v>
      </c>
      <c r="N62" t="s">
        <v>1444</v>
      </c>
      <c r="O62" t="s">
        <v>1445</v>
      </c>
      <c r="P62" t="s">
        <v>1446</v>
      </c>
      <c r="Q62" t="s">
        <v>1447</v>
      </c>
      <c r="R62" t="s">
        <v>1448</v>
      </c>
      <c r="S62" t="s">
        <v>1449</v>
      </c>
      <c r="T62" t="s">
        <v>1450</v>
      </c>
      <c r="U62" t="s">
        <v>1451</v>
      </c>
      <c r="V62" t="s">
        <v>1452</v>
      </c>
      <c r="W62" t="s">
        <v>1453</v>
      </c>
      <c r="X62" t="s">
        <v>1454</v>
      </c>
    </row>
    <row r="63" spans="1:24" x14ac:dyDescent="0.35">
      <c r="A63" t="s">
        <v>1455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</row>
    <row r="64" spans="1:24" x14ac:dyDescent="0.35">
      <c r="A64" t="s">
        <v>1456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  <c r="K64" t="s">
        <v>73</v>
      </c>
      <c r="L64" t="s">
        <v>73</v>
      </c>
      <c r="M64" t="s">
        <v>73</v>
      </c>
      <c r="N64" t="s">
        <v>73</v>
      </c>
      <c r="O64" t="s">
        <v>73</v>
      </c>
      <c r="P64" t="s">
        <v>1457</v>
      </c>
      <c r="Q64" t="s">
        <v>73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73</v>
      </c>
      <c r="X64" t="s">
        <v>73</v>
      </c>
    </row>
    <row r="65" spans="1:24" x14ac:dyDescent="0.35">
      <c r="A65" t="s">
        <v>1458</v>
      </c>
      <c r="B65" t="s">
        <v>1151</v>
      </c>
      <c r="C65" t="s">
        <v>1152</v>
      </c>
      <c r="D65" t="s">
        <v>1153</v>
      </c>
      <c r="E65" t="s">
        <v>1154</v>
      </c>
      <c r="F65" t="s">
        <v>1155</v>
      </c>
      <c r="G65" t="s">
        <v>1156</v>
      </c>
      <c r="H65" t="s">
        <v>1157</v>
      </c>
      <c r="I65" t="s">
        <v>1158</v>
      </c>
      <c r="J65" t="s">
        <v>1159</v>
      </c>
      <c r="K65" t="s">
        <v>1160</v>
      </c>
      <c r="L65" t="s">
        <v>1161</v>
      </c>
      <c r="M65" t="s">
        <v>1162</v>
      </c>
      <c r="N65" t="s">
        <v>1163</v>
      </c>
      <c r="O65" t="s">
        <v>1164</v>
      </c>
      <c r="P65" t="s">
        <v>1459</v>
      </c>
      <c r="Q65" t="s">
        <v>1166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</row>
  </sheetData>
  <pageMargins left="0.7" right="0.7" top="0.75" bottom="0.75" header="0.3" footer="0.3"/>
  <ignoredErrors>
    <ignoredError sqref="A1:X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DEC9-A435-4147-947C-F78446DAA477}">
  <dimension ref="A1:K18"/>
  <sheetViews>
    <sheetView workbookViewId="0">
      <selection activeCell="I10" sqref="I10"/>
    </sheetView>
  </sheetViews>
  <sheetFormatPr defaultRowHeight="14" x14ac:dyDescent="0.3"/>
  <cols>
    <col min="1" max="1" width="29.26953125" style="4" bestFit="1" customWidth="1"/>
    <col min="2" max="16384" width="8.7265625" style="4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1" x14ac:dyDescent="0.3">
      <c r="A2" s="4" t="s">
        <v>10</v>
      </c>
      <c r="B2" s="4">
        <v>1.0628035997989962</v>
      </c>
      <c r="C2" s="4">
        <v>1.0263729305612386</v>
      </c>
      <c r="D2" s="4">
        <v>1.1669549815650593</v>
      </c>
      <c r="E2" s="4">
        <v>1.1496133021964019</v>
      </c>
      <c r="F2" s="4">
        <v>0.93339083042600668</v>
      </c>
    </row>
    <row r="3" spans="1:11" x14ac:dyDescent="0.3">
      <c r="A3" s="4" t="s">
        <v>11</v>
      </c>
      <c r="B3" s="4">
        <v>0.75319652202161314</v>
      </c>
      <c r="C3" s="4">
        <v>0.68919964278567425</v>
      </c>
      <c r="D3" s="4">
        <v>0.88928449709275303</v>
      </c>
      <c r="E3" s="4">
        <v>0.8701558753621228</v>
      </c>
      <c r="F3" s="4">
        <v>0.60824477135813504</v>
      </c>
    </row>
    <row r="4" spans="1:11" x14ac:dyDescent="0.3">
      <c r="A4" s="2"/>
    </row>
    <row r="5" spans="1:11" x14ac:dyDescent="0.3">
      <c r="A5" s="2" t="s">
        <v>6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K5" s="2"/>
    </row>
    <row r="6" spans="1:11" x14ac:dyDescent="0.3">
      <c r="A6" s="4" t="s">
        <v>21</v>
      </c>
      <c r="B6" s="4">
        <v>18.175717254110914</v>
      </c>
      <c r="C6" s="4">
        <v>17.01009892509855</v>
      </c>
      <c r="D6" s="4">
        <v>17.914946291675633</v>
      </c>
      <c r="E6" s="4">
        <v>18.580619582966964</v>
      </c>
      <c r="F6" s="4">
        <v>16.289114468480616</v>
      </c>
    </row>
    <row r="7" spans="1:11" x14ac:dyDescent="0.3">
      <c r="A7" s="4" t="s">
        <v>22</v>
      </c>
      <c r="B7" s="4">
        <v>14.137956726059564</v>
      </c>
      <c r="C7" s="4">
        <v>12.638307110293356</v>
      </c>
      <c r="D7" s="4">
        <v>13.062720255576462</v>
      </c>
      <c r="E7" s="4">
        <v>13.99596470292677</v>
      </c>
      <c r="F7" s="4">
        <v>12.173932192475686</v>
      </c>
    </row>
    <row r="8" spans="1:11" x14ac:dyDescent="0.3">
      <c r="A8" s="4" t="s">
        <v>12</v>
      </c>
      <c r="B8" s="4">
        <v>55.194851364832168</v>
      </c>
      <c r="C8" s="4">
        <v>54.822914924547476</v>
      </c>
      <c r="D8" s="4">
        <v>59.023053023087044</v>
      </c>
      <c r="E8" s="4">
        <v>67.249265202835446</v>
      </c>
      <c r="F8" s="4">
        <v>66.728961848710128</v>
      </c>
    </row>
    <row r="9" spans="1:11" x14ac:dyDescent="0.3">
      <c r="A9" s="4" t="s">
        <v>13</v>
      </c>
      <c r="B9" s="4">
        <v>65.86390198831252</v>
      </c>
      <c r="C9" s="4">
        <v>61.387450525409982</v>
      </c>
      <c r="D9" s="4">
        <v>63.485824054640538</v>
      </c>
      <c r="E9" s="4">
        <v>59.253548866282223</v>
      </c>
      <c r="F9" s="4">
        <v>68.023897408577184</v>
      </c>
    </row>
    <row r="10" spans="1:11" x14ac:dyDescent="0.3">
      <c r="A10" s="2"/>
    </row>
    <row r="11" spans="1:11" x14ac:dyDescent="0.3">
      <c r="A11" s="2" t="s">
        <v>7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11" x14ac:dyDescent="0.3">
      <c r="A12" s="4" t="s">
        <v>14</v>
      </c>
      <c r="B12" s="4">
        <v>7.7348030586719477E-2</v>
      </c>
      <c r="C12" s="4">
        <v>0.20198891047329892</v>
      </c>
      <c r="D12" s="4">
        <v>0.2750487594684084</v>
      </c>
      <c r="E12" s="4">
        <v>0.50671298115461394</v>
      </c>
      <c r="F12" s="4">
        <v>0.31256087307599456</v>
      </c>
    </row>
    <row r="13" spans="1:11" x14ac:dyDescent="0.3">
      <c r="A13" s="4" t="s">
        <v>15</v>
      </c>
      <c r="B13" s="4">
        <v>0.51912769393900071</v>
      </c>
      <c r="C13" s="4">
        <v>0.48462415146663473</v>
      </c>
      <c r="D13" s="4">
        <v>0.42140573705864642</v>
      </c>
      <c r="E13" s="4">
        <v>0.3682542953257873</v>
      </c>
      <c r="F13" s="4">
        <v>0.3430754182166087</v>
      </c>
    </row>
    <row r="14" spans="1:11" x14ac:dyDescent="0.3">
      <c r="A14" s="2"/>
    </row>
    <row r="15" spans="1:11" x14ac:dyDescent="0.3">
      <c r="A15" s="2" t="s">
        <v>8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</row>
    <row r="16" spans="1:11" x14ac:dyDescent="0.3">
      <c r="A16" s="4" t="s">
        <v>16</v>
      </c>
      <c r="B16" s="4">
        <v>16.157018529417009</v>
      </c>
      <c r="C16" s="4">
        <v>14.49469964664311</v>
      </c>
      <c r="D16" s="4">
        <v>14.826442052779923</v>
      </c>
      <c r="E16" s="4">
        <v>13.868205449250116</v>
      </c>
      <c r="F16" s="4">
        <v>11.213324137226351</v>
      </c>
    </row>
    <row r="17" spans="1:6" x14ac:dyDescent="0.3">
      <c r="A17" s="4" t="s">
        <v>17</v>
      </c>
      <c r="B17" s="4">
        <v>73.221732805301727</v>
      </c>
      <c r="C17" s="4">
        <v>190.93114382786018</v>
      </c>
      <c r="D17" s="4">
        <v>24.649134744753564</v>
      </c>
      <c r="E17" s="4">
        <v>26.568031704095127</v>
      </c>
      <c r="F17" s="4">
        <v>-51.359307359307394</v>
      </c>
    </row>
    <row r="18" spans="1:6" x14ac:dyDescent="0.3">
      <c r="A18" s="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7F2D-9B9F-4C34-8270-D0ED5C180907}">
  <dimension ref="A1:E21"/>
  <sheetViews>
    <sheetView workbookViewId="0">
      <selection activeCell="J5" sqref="J5"/>
    </sheetView>
  </sheetViews>
  <sheetFormatPr defaultRowHeight="14" x14ac:dyDescent="0.3"/>
  <cols>
    <col min="1" max="1" width="28.90625" style="4" bestFit="1" customWidth="1"/>
    <col min="2" max="3" width="8.7265625" style="4"/>
    <col min="4" max="4" width="14.7265625" style="4" bestFit="1" customWidth="1"/>
    <col min="5" max="5" width="30.36328125" style="4" bestFit="1" customWidth="1"/>
    <col min="6" max="16384" width="8.7265625" style="4"/>
  </cols>
  <sheetData>
    <row r="1" spans="1:5" x14ac:dyDescent="0.3">
      <c r="C1" s="2" t="s">
        <v>18</v>
      </c>
    </row>
    <row r="2" spans="1:5" x14ac:dyDescent="0.3">
      <c r="A2" s="2" t="s">
        <v>19</v>
      </c>
      <c r="B2" s="2" t="s">
        <v>1</v>
      </c>
      <c r="C2" s="2" t="s">
        <v>2</v>
      </c>
      <c r="D2" s="2" t="s">
        <v>20</v>
      </c>
      <c r="E2" s="2" t="s">
        <v>1466</v>
      </c>
    </row>
    <row r="3" spans="1:5" x14ac:dyDescent="0.3">
      <c r="A3" s="2" t="s">
        <v>0</v>
      </c>
    </row>
    <row r="4" spans="1:5" x14ac:dyDescent="0.3">
      <c r="A4" s="4" t="s">
        <v>10</v>
      </c>
      <c r="B4" s="4">
        <f>'Table I'!B2</f>
        <v>1.0628035997989962</v>
      </c>
      <c r="C4" s="4">
        <f>'Table I'!C2</f>
        <v>1.0263729305612386</v>
      </c>
      <c r="D4" s="4">
        <f>B4-C4</f>
        <v>3.6430669237757618E-2</v>
      </c>
      <c r="E4" s="4" t="s">
        <v>1463</v>
      </c>
    </row>
    <row r="5" spans="1:5" x14ac:dyDescent="0.3">
      <c r="A5" s="4" t="s">
        <v>11</v>
      </c>
      <c r="B5" s="4">
        <f>'Table I'!B3</f>
        <v>0.75319652202161314</v>
      </c>
      <c r="C5" s="4">
        <f>'Table I'!C3</f>
        <v>0.68919964278567425</v>
      </c>
      <c r="D5" s="4">
        <f>B5-C5</f>
        <v>6.3996879235938886E-2</v>
      </c>
      <c r="E5" s="4" t="s">
        <v>1464</v>
      </c>
    </row>
    <row r="7" spans="1:5" x14ac:dyDescent="0.3">
      <c r="A7" s="2" t="s">
        <v>6</v>
      </c>
    </row>
    <row r="8" spans="1:5" x14ac:dyDescent="0.3">
      <c r="A8" s="4" t="s">
        <v>1461</v>
      </c>
      <c r="B8" s="4">
        <f>'Table I'!B6</f>
        <v>18.175717254110914</v>
      </c>
      <c r="C8" s="4">
        <f>'Table I'!C6</f>
        <v>17.01009892509855</v>
      </c>
      <c r="D8" s="4">
        <f>B8-C8</f>
        <v>1.1656183290123643</v>
      </c>
      <c r="E8" s="4" t="s">
        <v>1465</v>
      </c>
    </row>
    <row r="9" spans="1:5" x14ac:dyDescent="0.3">
      <c r="A9" s="4" t="s">
        <v>1462</v>
      </c>
      <c r="B9" s="4">
        <f>'Table I'!B7</f>
        <v>14.137956726059564</v>
      </c>
      <c r="C9" s="4">
        <f>'Table I'!C7</f>
        <v>12.638307110293356</v>
      </c>
      <c r="D9" s="4">
        <f t="shared" ref="D9:D11" si="0">B9-C9</f>
        <v>1.4996496157662076</v>
      </c>
      <c r="E9" s="4" t="s">
        <v>1467</v>
      </c>
    </row>
    <row r="10" spans="1:5" x14ac:dyDescent="0.3">
      <c r="A10" s="4" t="s">
        <v>12</v>
      </c>
      <c r="B10" s="4">
        <f>'Table I'!B8</f>
        <v>55.194851364832168</v>
      </c>
      <c r="C10" s="4">
        <f>'Table I'!C8</f>
        <v>54.822914924547476</v>
      </c>
      <c r="D10" s="4">
        <f t="shared" si="0"/>
        <v>0.37193644028469208</v>
      </c>
      <c r="E10" s="4" t="s">
        <v>1468</v>
      </c>
    </row>
    <row r="11" spans="1:5" x14ac:dyDescent="0.3">
      <c r="A11" s="4" t="s">
        <v>13</v>
      </c>
      <c r="B11" s="4">
        <f>'Table I'!B9</f>
        <v>65.86390198831252</v>
      </c>
      <c r="C11" s="4">
        <f>'Table I'!C9</f>
        <v>61.387450525409982</v>
      </c>
      <c r="D11" s="4">
        <f t="shared" si="0"/>
        <v>4.4764514629025385</v>
      </c>
      <c r="E11" s="4" t="s">
        <v>1469</v>
      </c>
    </row>
    <row r="13" spans="1:5" x14ac:dyDescent="0.3">
      <c r="A13" s="2" t="s">
        <v>7</v>
      </c>
    </row>
    <row r="14" spans="1:5" x14ac:dyDescent="0.3">
      <c r="A14" s="4" t="s">
        <v>14</v>
      </c>
      <c r="B14" s="4">
        <f>'Table I'!B12</f>
        <v>7.7348030586719477E-2</v>
      </c>
      <c r="C14" s="4">
        <f>'Table I'!C12</f>
        <v>0.20198891047329892</v>
      </c>
      <c r="D14" s="4">
        <f>B14-C14</f>
        <v>-0.12464087988657944</v>
      </c>
      <c r="E14" s="4" t="s">
        <v>1470</v>
      </c>
    </row>
    <row r="15" spans="1:5" x14ac:dyDescent="0.3">
      <c r="A15" s="4" t="s">
        <v>15</v>
      </c>
      <c r="B15" s="4">
        <f>'Table I'!B13</f>
        <v>0.51912769393900071</v>
      </c>
      <c r="C15" s="4">
        <f>'Table I'!C13</f>
        <v>0.48462415146663473</v>
      </c>
      <c r="D15" s="4">
        <f>B15-C15</f>
        <v>3.4503542472365978E-2</v>
      </c>
      <c r="E15" s="4" t="s">
        <v>1471</v>
      </c>
    </row>
    <row r="17" spans="1:5" x14ac:dyDescent="0.3">
      <c r="A17" s="2" t="s">
        <v>8</v>
      </c>
    </row>
    <row r="18" spans="1:5" x14ac:dyDescent="0.3">
      <c r="A18" s="4" t="s">
        <v>16</v>
      </c>
      <c r="B18" s="4">
        <f>'Table I'!B16</f>
        <v>16.157018529417009</v>
      </c>
      <c r="C18" s="4">
        <f>'Table I'!C16</f>
        <v>14.49469964664311</v>
      </c>
      <c r="D18" s="4">
        <f>B18-C18</f>
        <v>1.6623188827738993</v>
      </c>
      <c r="E18" s="4" t="s">
        <v>1472</v>
      </c>
    </row>
    <row r="19" spans="1:5" x14ac:dyDescent="0.3">
      <c r="A19" s="4" t="s">
        <v>17</v>
      </c>
      <c r="B19" s="4">
        <f>'Table I'!B17</f>
        <v>73.221732805301727</v>
      </c>
      <c r="C19" s="4">
        <f>'Table I'!C17</f>
        <v>190.93114382786018</v>
      </c>
      <c r="D19" s="4">
        <f>B19-C19</f>
        <v>-117.70941102255846</v>
      </c>
      <c r="E19" s="4" t="s">
        <v>1473</v>
      </c>
    </row>
    <row r="21" spans="1:5" x14ac:dyDescent="0.3">
      <c r="A21" s="2" t="s">
        <v>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F8E8-6DEB-4BCB-9236-AA1DD4071893}">
  <dimension ref="D1:H1"/>
  <sheetViews>
    <sheetView workbookViewId="0">
      <selection activeCell="Q14" sqref="Q14"/>
    </sheetView>
  </sheetViews>
  <sheetFormatPr defaultRowHeight="14.5" x14ac:dyDescent="0.35"/>
  <sheetData>
    <row r="1" spans="4:8" ht="17.5" x14ac:dyDescent="0.35">
      <c r="D1" s="3" t="s">
        <v>1460</v>
      </c>
      <c r="E1" s="3"/>
      <c r="F1" s="3"/>
      <c r="G1" s="3"/>
      <c r="H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 Statement</vt:lpstr>
      <vt:lpstr>Bal Sheet</vt:lpstr>
      <vt:lpstr>Table I</vt:lpstr>
      <vt:lpstr>Table II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Pandey</dc:creator>
  <cp:lastModifiedBy>Anmol Pandey</cp:lastModifiedBy>
  <dcterms:created xsi:type="dcterms:W3CDTF">2026-08-31T04:43:55Z</dcterms:created>
  <dcterms:modified xsi:type="dcterms:W3CDTF">2026-10-05T13:21:18Z</dcterms:modified>
</cp:coreProperties>
</file>